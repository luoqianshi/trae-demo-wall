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git\CK_Sakura\06PM\0601Plan\"/>
    </mc:Choice>
  </mc:AlternateContent>
  <bookViews>
    <workbookView xWindow="0" yWindow="0" windowWidth="28695" windowHeight="13050"/>
  </bookViews>
  <sheets>
    <sheet name="作業一覧" sheetId="1" r:id="rId1"/>
    <sheet name="RM" sheetId="2" state="hidden" r:id="rId2"/>
  </sheets>
  <definedNames>
    <definedName name="_xlnm._FilterDatabase" localSheetId="0" hidden="1">作業一覧!$B$10:$S$216</definedName>
  </definedNames>
  <calcPr calcId="152511"/>
</workbook>
</file>

<file path=xl/calcChain.xml><?xml version="1.0" encoding="utf-8"?>
<calcChain xmlns="http://schemas.openxmlformats.org/spreadsheetml/2006/main">
  <c r="K188" i="1" l="1"/>
  <c r="K187" i="1"/>
  <c r="K185" i="1"/>
  <c r="K184" i="1"/>
  <c r="K182" i="1"/>
  <c r="K181" i="1"/>
  <c r="K179" i="1"/>
  <c r="K178" i="1"/>
  <c r="K176" i="1"/>
  <c r="K175" i="1"/>
  <c r="K173" i="1"/>
  <c r="K172" i="1"/>
  <c r="K167" i="1"/>
  <c r="K166" i="1"/>
  <c r="K164" i="1"/>
  <c r="K163" i="1"/>
  <c r="K158" i="1"/>
  <c r="K157" i="1"/>
  <c r="K155" i="1"/>
  <c r="K154" i="1"/>
  <c r="K77" i="1"/>
  <c r="K76" i="1"/>
  <c r="K67" i="1"/>
  <c r="K66" i="1"/>
  <c r="N63" i="1"/>
  <c r="M63" i="1"/>
  <c r="K63" i="1"/>
  <c r="N62" i="1"/>
  <c r="M62" i="1"/>
  <c r="K62" i="1"/>
  <c r="N56" i="1"/>
  <c r="M56" i="1"/>
  <c r="K56" i="1"/>
  <c r="N55" i="1"/>
  <c r="M55" i="1"/>
  <c r="K55" i="1"/>
  <c r="K49" i="1"/>
  <c r="K48" i="1"/>
  <c r="M45" i="1"/>
  <c r="L45" i="1"/>
  <c r="K45" i="1"/>
  <c r="N44" i="1"/>
  <c r="M44" i="1"/>
  <c r="L44" i="1"/>
  <c r="K44" i="1"/>
  <c r="N45" i="1" s="1"/>
  <c r="N39" i="1"/>
  <c r="M39" i="1"/>
  <c r="L39" i="1"/>
  <c r="K39" i="1"/>
  <c r="N38" i="1"/>
  <c r="M38" i="1"/>
  <c r="L38" i="1"/>
  <c r="K38" i="1"/>
  <c r="K32" i="1"/>
  <c r="K31" i="1"/>
  <c r="K29" i="1"/>
  <c r="K28" i="1"/>
  <c r="K22" i="1"/>
  <c r="K21" i="1"/>
  <c r="L224" i="1" l="1"/>
  <c r="K224" i="1"/>
  <c r="M224" i="1"/>
  <c r="N224" i="1"/>
</calcChain>
</file>

<file path=xl/sharedStrings.xml><?xml version="1.0" encoding="utf-8"?>
<sst xmlns="http://schemas.openxmlformats.org/spreadsheetml/2006/main" count="952" uniqueCount="331">
  <si>
    <r>
      <rPr>
        <sz val="11"/>
        <color theme="1"/>
        <rFont val="微软雅黑"/>
        <family val="2"/>
        <charset val="134"/>
      </rPr>
      <t>张婷婷</t>
    </r>
  </si>
  <si>
    <r>
      <rPr>
        <sz val="11"/>
        <color theme="1"/>
        <rFont val="宋体"/>
        <family val="3"/>
        <charset val="134"/>
      </rPr>
      <t>张</t>
    </r>
    <r>
      <rPr>
        <sz val="11"/>
        <color theme="1"/>
        <rFont val="MS PGothic"/>
        <family val="2"/>
        <charset val="128"/>
      </rPr>
      <t>世</t>
    </r>
    <r>
      <rPr>
        <sz val="11"/>
        <color theme="1"/>
        <rFont val="宋体"/>
        <family val="3"/>
        <charset val="134"/>
      </rPr>
      <t>为</t>
    </r>
  </si>
  <si>
    <r>
      <rPr>
        <sz val="11"/>
        <color theme="1"/>
        <rFont val="MS PGothic"/>
        <family val="2"/>
        <charset val="128"/>
      </rPr>
      <t>祁</t>
    </r>
    <r>
      <rPr>
        <sz val="11"/>
        <color theme="1"/>
        <rFont val="宋体"/>
        <family val="3"/>
        <charset val="134"/>
      </rPr>
      <t>胜锋</t>
    </r>
  </si>
  <si>
    <r>
      <rPr>
        <sz val="11"/>
        <color theme="1"/>
        <rFont val="微软雅黑"/>
        <family val="2"/>
        <charset val="134"/>
      </rPr>
      <t>陈</t>
    </r>
    <r>
      <rPr>
        <sz val="11"/>
        <color theme="1"/>
        <rFont val="MS PGothic"/>
        <family val="2"/>
        <charset val="128"/>
      </rPr>
      <t>云浩</t>
    </r>
  </si>
  <si>
    <t>王浩</t>
  </si>
  <si>
    <r>
      <rPr>
        <sz val="11"/>
        <color theme="1"/>
        <rFont val="宋体"/>
        <family val="3"/>
        <charset val="134"/>
      </rPr>
      <t>刘</t>
    </r>
    <r>
      <rPr>
        <sz val="11"/>
        <color theme="1"/>
        <rFont val="MS PGothic"/>
        <family val="2"/>
        <charset val="128"/>
      </rPr>
      <t>双</t>
    </r>
  </si>
  <si>
    <r>
      <rPr>
        <sz val="11"/>
        <color theme="1"/>
        <rFont val="宋体"/>
        <family val="3"/>
        <charset val="134"/>
      </rPr>
      <t>刘</t>
    </r>
    <r>
      <rPr>
        <sz val="11"/>
        <color theme="1"/>
        <rFont val="MS PGothic"/>
        <family val="2"/>
        <charset val="128"/>
      </rPr>
      <t>小双</t>
    </r>
  </si>
  <si>
    <t>作業内容</t>
  </si>
  <si>
    <t>担当者</t>
  </si>
  <si>
    <t>進捗</t>
  </si>
  <si>
    <t>状態</t>
  </si>
  <si>
    <t>RM#</t>
  </si>
  <si>
    <t>完了予定</t>
  </si>
  <si>
    <r>
      <rPr>
        <sz val="11"/>
        <color theme="1"/>
        <rFont val="宋体"/>
        <family val="3"/>
        <charset val="134"/>
      </rPr>
      <t>总</t>
    </r>
    <r>
      <rPr>
        <sz val="11"/>
        <color theme="1"/>
        <rFont val="MS PGothic"/>
        <family val="2"/>
        <charset val="128"/>
      </rPr>
      <t>工数</t>
    </r>
  </si>
  <si>
    <t>4月</t>
  </si>
  <si>
    <t>5月</t>
  </si>
  <si>
    <t>6月</t>
  </si>
  <si>
    <t>備考</t>
  </si>
  <si>
    <t>Qlist#</t>
  </si>
  <si>
    <t>CAN_Diag</t>
  </si>
  <si>
    <t xml:space="preserve">・3V0A_31EA_3T0A
</t>
  </si>
  <si>
    <t>「HAP_ソフトアーキテクチャ設計書_CAN台帳.xlsx」更新</t>
  </si>
  <si>
    <r>
      <rPr>
        <sz val="10"/>
        <rFont val="宋体"/>
        <family val="3"/>
        <charset val="134"/>
      </rPr>
      <t>刘</t>
    </r>
    <r>
      <rPr>
        <sz val="10"/>
        <rFont val="MS PGothic"/>
        <family val="2"/>
        <charset val="128"/>
      </rPr>
      <t>双</t>
    </r>
  </si>
  <si>
    <t>正常</t>
  </si>
  <si>
    <t>外部レビュー完了</t>
  </si>
  <si>
    <r>
      <rPr>
        <sz val="11"/>
        <color theme="1"/>
        <rFont val="MS PGothic"/>
        <family val="2"/>
        <charset val="128"/>
      </rPr>
      <t>成果物存放在 02DESIGN\0202BasicDesign\HAP_ソフトアーキテクチャ設計書_CAN台帳 V1.1.xlsx
内部</t>
    </r>
    <r>
      <rPr>
        <sz val="11"/>
        <color theme="1"/>
        <rFont val="宋体"/>
        <family val="3"/>
        <charset val="134"/>
      </rPr>
      <t>评审</t>
    </r>
    <r>
      <rPr>
        <sz val="11"/>
        <color theme="1"/>
        <rFont val="MS PGothic"/>
        <family val="2"/>
        <charset val="128"/>
      </rPr>
      <t>已</t>
    </r>
    <r>
      <rPr>
        <sz val="11"/>
        <color theme="1"/>
        <rFont val="宋体"/>
        <family val="3"/>
        <charset val="134"/>
      </rPr>
      <t>经</t>
    </r>
    <r>
      <rPr>
        <sz val="11"/>
        <color theme="1"/>
        <rFont val="MS PGothic"/>
        <family val="2"/>
        <charset val="128"/>
      </rPr>
      <t>完成且指摘已</t>
    </r>
    <r>
      <rPr>
        <sz val="11"/>
        <color theme="1"/>
        <rFont val="宋体"/>
        <family val="3"/>
        <charset val="134"/>
      </rPr>
      <t>经对应</t>
    </r>
    <r>
      <rPr>
        <sz val="11"/>
        <color theme="1"/>
        <rFont val="MS PGothic"/>
        <family val="2"/>
        <charset val="128"/>
      </rPr>
      <t>完</t>
    </r>
    <r>
      <rPr>
        <sz val="11"/>
        <color theme="1"/>
        <rFont val="宋体"/>
        <family val="3"/>
        <charset val="134"/>
      </rPr>
      <t>毕</t>
    </r>
  </si>
  <si>
    <t>柳立</t>
  </si>
  <si>
    <t>「HAP_ソフトアーキテクチャ設計書_CAN台帳.xlsx」共有オブジェクト更新</t>
  </si>
  <si>
    <r>
      <rPr>
        <sz val="11"/>
        <color theme="1"/>
        <rFont val="宋体"/>
        <family val="3"/>
        <charset val="134"/>
      </rPr>
      <t>孙强</t>
    </r>
  </si>
  <si>
    <t xml:space="preserve">・31AA
</t>
  </si>
  <si>
    <t>対象外</t>
  </si>
  <si>
    <t>OIL18</t>
  </si>
  <si>
    <t>易浩</t>
  </si>
  <si>
    <t>「HAP_共有オブジェクト管理_31AA.xlsm」更新</t>
  </si>
  <si>
    <r>
      <rPr>
        <sz val="10"/>
        <rFont val="MS PGothic"/>
        <family val="2"/>
        <charset val="128"/>
      </rPr>
      <t>刘</t>
    </r>
    <r>
      <rPr>
        <sz val="10"/>
        <rFont val="MS PGothic"/>
        <family val="2"/>
        <charset val="128"/>
      </rPr>
      <t>双</t>
    </r>
  </si>
  <si>
    <r>
      <rPr>
        <sz val="11"/>
        <color theme="1"/>
        <rFont val="MS PGothic"/>
        <family val="2"/>
        <charset val="128"/>
      </rPr>
      <t>姜</t>
    </r>
    <r>
      <rPr>
        <sz val="11"/>
        <color theme="1"/>
        <rFont val="宋体"/>
        <family val="3"/>
        <charset val="134"/>
      </rPr>
      <t>风</t>
    </r>
  </si>
  <si>
    <t xml:space="preserve">・T90A
</t>
  </si>
  <si>
    <r>
      <rPr>
        <sz val="11"/>
        <color theme="1"/>
        <rFont val="MS PGothic"/>
        <family val="2"/>
        <charset val="128"/>
      </rPr>
      <t>曹</t>
    </r>
    <r>
      <rPr>
        <sz val="11"/>
        <color theme="1"/>
        <rFont val="宋体"/>
        <family val="3"/>
        <charset val="134"/>
      </rPr>
      <t>艳</t>
    </r>
  </si>
  <si>
    <t>胡小月</t>
  </si>
  <si>
    <t xml:space="preserve">・3A0A_3F0A
</t>
  </si>
  <si>
    <t>・30AA</t>
  </si>
  <si>
    <t>李元</t>
  </si>
  <si>
    <t>李梦祥</t>
  </si>
  <si>
    <t>内部レビュー</t>
  </si>
  <si>
    <r>
      <rPr>
        <sz val="10"/>
        <rFont val="MS PGothic"/>
        <family val="2"/>
        <charset val="128"/>
      </rPr>
      <t>张婷婷</t>
    </r>
  </si>
  <si>
    <t>秦拓</t>
  </si>
  <si>
    <t>外部レビュー</t>
  </si>
  <si>
    <r>
      <rPr>
        <sz val="11"/>
        <color theme="1"/>
        <rFont val="宋体"/>
        <family val="3"/>
        <charset val="134"/>
      </rPr>
      <t>刘</t>
    </r>
    <r>
      <rPr>
        <sz val="11"/>
        <color theme="1"/>
        <rFont val="MS PGothic"/>
        <family val="2"/>
        <charset val="128"/>
      </rPr>
      <t>旭</t>
    </r>
  </si>
  <si>
    <t>P票の変更内容を詳細設計書に反映</t>
  </si>
  <si>
    <t>HAP_MV-AP_変更管理報告書(SCH_060533)_CAN通信.xlsx</t>
  </si>
  <si>
    <r>
      <rPr>
        <sz val="10"/>
        <rFont val="MS PGothic"/>
        <family val="2"/>
        <charset val="128"/>
      </rPr>
      <t>祁</t>
    </r>
    <r>
      <rPr>
        <sz val="10"/>
        <rFont val="宋体"/>
        <family val="3"/>
        <charset val="134"/>
      </rPr>
      <t>胜锋</t>
    </r>
  </si>
  <si>
    <t>送付済み
CT確認待ち</t>
  </si>
  <si>
    <t>HAP_MV-AP_変更管理報告書(SCH_062101)_CAN通信.xlsx</t>
  </si>
  <si>
    <r>
      <rPr>
        <sz val="10"/>
        <rFont val="MS PGothic"/>
        <family val="2"/>
        <charset val="128"/>
      </rPr>
      <t>祁</t>
    </r>
    <r>
      <rPr>
        <sz val="10"/>
        <rFont val="MS PGothic"/>
        <family val="2"/>
        <charset val="128"/>
      </rPr>
      <t>胜锋</t>
    </r>
  </si>
  <si>
    <t>HAP_MV-AP_変更管理報告書(SCH_062101)_CAN通信_追加対応.xlsx</t>
  </si>
  <si>
    <t>HAP_MV-AP_変更管理報告書(SCH_065360)_完検モード.xlsx</t>
  </si>
  <si>
    <t>HAP_MV-AP_変更管理報告書(SCH_062861)_CAN通信.xlsx</t>
  </si>
  <si>
    <t>未着手</t>
  </si>
  <si>
    <t>3V0A/3T0A</t>
  </si>
  <si>
    <t>[CAN送信確認]
・起動時の一斉送信の確認(500ms以内であること)
・Tx Methodの形式が正しいか(周期かイベントかその複合型、また周期の場合、周期サイクルの秒数が正しいこと)
→起動時・MVCモード時(カメラが表示されている状態)・MVCモード(故障発生時)にてそれぞれ周期を確認して下さい。
・DLCのレイアウトのサイズがCAN台帳通りか
・FCAN(CH1)/BCAN(CH2)が正しく送信されているか
[ CAN送信Signal確認]
・シグナル確認についてはCANIDのシグナル送信が確認できていることを記載</t>
  </si>
  <si>
    <t>成果物存在
05TEST\0502TestCase\Test仕様書\CAN通信
HAP_ソフト機能テスト仕様書_CAN通信【3T0A】.xlsx
HAP_ソフト機能テスト仕様書_CAN通信【3V0A】.xlsx</t>
  </si>
  <si>
    <r>
      <rPr>
        <sz val="10"/>
        <rFont val="MS PGothic"/>
        <family val="2"/>
        <charset val="128"/>
      </rPr>
      <t>内部指摘已</t>
    </r>
    <r>
      <rPr>
        <sz val="10"/>
        <rFont val="宋体"/>
        <family val="3"/>
        <charset val="134"/>
      </rPr>
      <t>经对应</t>
    </r>
    <r>
      <rPr>
        <sz val="10"/>
        <rFont val="MS PGothic"/>
        <family val="2"/>
        <charset val="128"/>
      </rPr>
      <t>完</t>
    </r>
    <r>
      <rPr>
        <sz val="10"/>
        <rFont val="宋体"/>
        <family val="3"/>
        <charset val="134"/>
      </rPr>
      <t>毕</t>
    </r>
    <r>
      <rPr>
        <sz val="10"/>
        <rFont val="MS PGothic"/>
        <family val="2"/>
        <charset val="128"/>
      </rPr>
      <t>，等待外部</t>
    </r>
    <r>
      <rPr>
        <sz val="10"/>
        <rFont val="宋体"/>
        <family val="3"/>
        <charset val="134"/>
      </rPr>
      <t>评审</t>
    </r>
  </si>
  <si>
    <t>TZAV</t>
  </si>
  <si>
    <r>
      <rPr>
        <sz val="10"/>
        <rFont val="MS PGothic"/>
        <family val="2"/>
        <charset val="128"/>
      </rPr>
      <t>[式</t>
    </r>
    <r>
      <rPr>
        <sz val="10"/>
        <rFont val="宋体"/>
        <family val="3"/>
        <charset val="134"/>
      </rPr>
      <t>样</t>
    </r>
    <r>
      <rPr>
        <sz val="10"/>
        <rFont val="MS PGothic"/>
        <family val="2"/>
        <charset val="128"/>
      </rPr>
      <t>分析]一致性検証資料作成</t>
    </r>
  </si>
  <si>
    <r>
      <rPr>
        <sz val="11"/>
        <color theme="1"/>
        <rFont val="MS PGothic"/>
        <family val="2"/>
        <charset val="128"/>
      </rPr>
      <t>成果物上</t>
    </r>
    <r>
      <rPr>
        <sz val="11"/>
        <color theme="1"/>
        <rFont val="宋体"/>
        <family val="3"/>
        <charset val="134"/>
      </rPr>
      <t>传</t>
    </r>
    <r>
      <rPr>
        <sz val="11"/>
        <color theme="1"/>
        <rFont val="MS PGothic"/>
        <family val="2"/>
        <charset val="128"/>
      </rPr>
      <t>至 01REQ\0102Report\CAN &amp; 故障診断\TZAV_CAN一致性検証資料確認</t>
    </r>
  </si>
  <si>
    <r>
      <rPr>
        <sz val="10"/>
        <rFont val="MS PGothic"/>
        <family val="2"/>
        <charset val="128"/>
      </rPr>
      <t>[架</t>
    </r>
    <r>
      <rPr>
        <sz val="10"/>
        <rFont val="宋体"/>
        <family val="3"/>
        <charset val="134"/>
      </rPr>
      <t>构设计</t>
    </r>
    <r>
      <rPr>
        <sz val="10"/>
        <rFont val="MS PGothic"/>
        <family val="2"/>
        <charset val="128"/>
      </rPr>
      <t>]アーキテクチャ設計書CAN台帳作成</t>
    </r>
  </si>
  <si>
    <t>内部レビューが完了しました</t>
  </si>
  <si>
    <t>[詳細設計]詳細設計書作成</t>
  </si>
  <si>
    <r>
      <rPr>
        <sz val="10"/>
        <rFont val="MS PGothic"/>
        <family val="2"/>
        <charset val="128"/>
      </rPr>
      <t>姜</t>
    </r>
    <r>
      <rPr>
        <sz val="10"/>
        <rFont val="MS PGothic"/>
        <family val="2"/>
        <charset val="128"/>
      </rPr>
      <t>风</t>
    </r>
  </si>
  <si>
    <r>
      <rPr>
        <sz val="10"/>
        <rFont val="MS PGothic"/>
        <family val="2"/>
        <charset val="128"/>
      </rPr>
      <t>[</t>
    </r>
    <r>
      <rPr>
        <sz val="10"/>
        <rFont val="宋体"/>
        <family val="3"/>
        <charset val="134"/>
      </rPr>
      <t>编码</t>
    </r>
    <r>
      <rPr>
        <sz val="10"/>
        <rFont val="MS PGothic"/>
        <family val="2"/>
        <charset val="128"/>
      </rPr>
      <t>]コード実装</t>
    </r>
  </si>
  <si>
    <r>
      <rPr>
        <sz val="10"/>
        <rFont val="MS PGothic"/>
        <family val="2"/>
        <charset val="128"/>
      </rPr>
      <t>[式</t>
    </r>
    <r>
      <rPr>
        <sz val="10"/>
        <rFont val="宋体"/>
        <family val="3"/>
        <charset val="134"/>
      </rPr>
      <t>样</t>
    </r>
    <r>
      <rPr>
        <sz val="10"/>
        <rFont val="MS PGothic"/>
        <family val="2"/>
        <charset val="128"/>
      </rPr>
      <t>分析]要求仕様書作成</t>
    </r>
  </si>
  <si>
    <r>
      <rPr>
        <sz val="10"/>
        <rFont val="MS PGothic"/>
        <family val="2"/>
        <charset val="128"/>
      </rPr>
      <t>孙强</t>
    </r>
  </si>
  <si>
    <t>P表</t>
  </si>
  <si>
    <t xml:space="preserve">P表作成 </t>
  </si>
  <si>
    <t>P表検証</t>
  </si>
  <si>
    <t>32RA</t>
  </si>
  <si>
    <t>姜风</t>
  </si>
  <si>
    <t>[P表]32RA P表作成</t>
  </si>
  <si>
    <t>孙强</t>
  </si>
  <si>
    <t>[P表検証]32RA 用例作成</t>
  </si>
  <si>
    <t>刘双</t>
  </si>
  <si>
    <t>[P表検証]32RA 用例検証</t>
  </si>
  <si>
    <t>TOOL</t>
  </si>
  <si>
    <t>3A0A</t>
  </si>
  <si>
    <t>3A0A/3F0A xHEV P-ADASに向けてCAN_TOOLの改修と検証</t>
  </si>
  <si>
    <t>3A0A/3F0A xHEV ADASに向けてCAN_TOOLの改修と検証</t>
  </si>
  <si>
    <t>30AA</t>
  </si>
  <si>
    <t>30AA xHEV　PADASに向けてCAN_TOOLの改修と検証</t>
  </si>
  <si>
    <r>
      <rPr>
        <sz val="10"/>
        <rFont val="宋体"/>
        <family val="3"/>
        <charset val="134"/>
      </rPr>
      <t>孙强</t>
    </r>
  </si>
  <si>
    <t>30AA xHEV　ADASに向けてCAN_TOOLの改修と検証</t>
  </si>
  <si>
    <t>Test</t>
  </si>
  <si>
    <t>3A0A/3F0A xHEV P-ADASに向けてCAN_TOOLの検証</t>
  </si>
  <si>
    <r>
      <rPr>
        <sz val="11"/>
        <color theme="1"/>
        <rFont val="MS PGothic"/>
        <family val="2"/>
        <charset val="128"/>
      </rPr>
      <t>做成</t>
    </r>
    <r>
      <rPr>
        <sz val="11"/>
        <color theme="1"/>
        <rFont val="宋体"/>
        <family val="3"/>
        <charset val="134"/>
      </rPr>
      <t>测试</t>
    </r>
    <r>
      <rPr>
        <sz val="11"/>
        <color theme="1"/>
        <rFont val="MS PGothic"/>
        <family val="2"/>
        <charset val="128"/>
      </rPr>
      <t>Case已上</t>
    </r>
    <r>
      <rPr>
        <sz val="11"/>
        <color theme="1"/>
        <rFont val="宋体"/>
        <family val="3"/>
        <charset val="134"/>
      </rPr>
      <t>传</t>
    </r>
    <r>
      <rPr>
        <sz val="11"/>
        <color theme="1"/>
        <rFont val="MS PGothic"/>
        <family val="2"/>
        <charset val="128"/>
      </rPr>
      <t xml:space="preserve">git：
http://192.168.100.150/ck_sakura/03IMPLEMENT/blob/master/0301Code/CANTOOL/Ver022_20210412_HAP_CAN_3A0A/10-01_CANテーブル_3A0A_3F0A_09_TYFA24d差分Test Case.xlsx
</t>
    </r>
    <r>
      <rPr>
        <sz val="11"/>
        <color theme="1"/>
        <rFont val="宋体"/>
        <family val="3"/>
        <charset val="134"/>
      </rPr>
      <t>测试结</t>
    </r>
    <r>
      <rPr>
        <sz val="11"/>
        <color theme="1"/>
        <rFont val="MS PGothic"/>
        <family val="2"/>
        <charset val="128"/>
      </rPr>
      <t>果已上</t>
    </r>
    <r>
      <rPr>
        <sz val="11"/>
        <color theme="1"/>
        <rFont val="宋体"/>
        <family val="3"/>
        <charset val="134"/>
      </rPr>
      <t>传</t>
    </r>
    <r>
      <rPr>
        <sz val="11"/>
        <color theme="1"/>
        <rFont val="MS PGothic"/>
        <family val="2"/>
        <charset val="128"/>
      </rPr>
      <t>git：
http://192.168.100.150/ck_sakura/03IMPLEMENT/blob/master/0301Code/CANTOOL/Ver022_20210412_HAP_CAN_3A0A/10-01_CANテーブル_3A0A_3F0A_09_TYFA24d差分Test result.xlsx</t>
    </r>
  </si>
  <si>
    <t>3A0A/3F0A xHEV ADASに向けてCAN_TOOLの検証</t>
  </si>
  <si>
    <t>30AA xHEV　PADASに向けてCAN_TOOLの検証</t>
  </si>
  <si>
    <t>30AA xHEV　ADASに向けてCAN_TOOLの検証</t>
  </si>
  <si>
    <t>VIEW</t>
  </si>
  <si>
    <t>見え方</t>
  </si>
  <si>
    <t>No.12 OSDの更新</t>
  </si>
  <si>
    <r>
      <rPr>
        <sz val="10"/>
        <rFont val="MS PGothic"/>
        <family val="2"/>
        <charset val="128"/>
      </rPr>
      <t>张</t>
    </r>
    <r>
      <rPr>
        <sz val="10"/>
        <rFont val="MS PGothic"/>
        <family val="2"/>
        <charset val="128"/>
      </rPr>
      <t>世</t>
    </r>
    <r>
      <rPr>
        <sz val="10"/>
        <rFont val="MS PGothic"/>
        <family val="2"/>
        <charset val="128"/>
      </rPr>
      <t>为</t>
    </r>
  </si>
  <si>
    <t>OIL</t>
  </si>
  <si>
    <t>No.18 [見え方成立性検証]</t>
  </si>
  <si>
    <t>作業44と重複なので、closeします。</t>
  </si>
  <si>
    <t>No.44 [CARINFO/MAP作成]</t>
  </si>
  <si>
    <r>
      <rPr>
        <sz val="10"/>
        <rFont val="MS PGothic"/>
        <family val="2"/>
        <charset val="128"/>
      </rPr>
      <t>曹</t>
    </r>
    <r>
      <rPr>
        <sz val="10"/>
        <rFont val="宋体"/>
        <family val="3"/>
        <charset val="134"/>
      </rPr>
      <t>艳</t>
    </r>
  </si>
  <si>
    <t>No.47 [(30AA)パキスタン仕向けカメラ取り付け位置検証]</t>
  </si>
  <si>
    <t>-</t>
  </si>
  <si>
    <t>No.23 OSDの更新</t>
  </si>
  <si>
    <r>
      <rPr>
        <sz val="10"/>
        <rFont val="宋体"/>
        <family val="3"/>
        <charset val="134"/>
      </rPr>
      <t>张</t>
    </r>
    <r>
      <rPr>
        <sz val="10"/>
        <rFont val="MS PGothic"/>
        <family val="2"/>
        <charset val="128"/>
      </rPr>
      <t>世</t>
    </r>
    <r>
      <rPr>
        <sz val="10"/>
        <rFont val="宋体"/>
        <family val="3"/>
        <charset val="134"/>
      </rPr>
      <t>为</t>
    </r>
  </si>
  <si>
    <r>
      <rPr>
        <sz val="11"/>
        <color theme="1"/>
        <rFont val="MS PGothic"/>
        <family val="2"/>
        <charset val="128"/>
      </rPr>
      <t>多</t>
    </r>
    <r>
      <rPr>
        <sz val="11"/>
        <color theme="1"/>
        <rFont val="宋体"/>
        <family val="3"/>
        <charset val="134"/>
      </rPr>
      <t>车种对应</t>
    </r>
  </si>
  <si>
    <t>No.26 [見え方成立性検証]</t>
  </si>
  <si>
    <r>
      <rPr>
        <sz val="10"/>
        <rFont val="MS PGothic"/>
        <family val="2"/>
        <charset val="128"/>
      </rPr>
      <t>曹</t>
    </r>
    <r>
      <rPr>
        <sz val="10"/>
        <rFont val="MS PGothic"/>
        <family val="2"/>
        <charset val="128"/>
      </rPr>
      <t>艳</t>
    </r>
  </si>
  <si>
    <t>CT確認済み</t>
  </si>
  <si>
    <t>No.27[見え方成立性検証資料まとめ]</t>
  </si>
  <si>
    <t>No.28[見え方SW作成]</t>
  </si>
  <si>
    <t>①MAPデータ
→100％
②CARINFOデータ
→100％</t>
  </si>
  <si>
    <t>No.29[見え方SW表示確認]</t>
  </si>
  <si>
    <t>①デジ集で確認したキャプチャ画像一式
→100%</t>
  </si>
  <si>
    <t>No.30 TZAV 線描画　VGR対応</t>
  </si>
  <si>
    <t>No.37 黒箱調整</t>
  </si>
  <si>
    <r>
      <t>曹</t>
    </r>
    <r>
      <rPr>
        <sz val="10"/>
        <rFont val="宋体"/>
        <family val="3"/>
        <charset val="134"/>
      </rPr>
      <t>艳</t>
    </r>
  </si>
  <si>
    <t>Close</t>
  </si>
  <si>
    <t>No.38 SPEC作成</t>
  </si>
  <si>
    <t>No.39 ソフト修正(CarInfo)</t>
  </si>
  <si>
    <t>No.42 [View] [OSDの更新]</t>
  </si>
  <si>
    <t>No.45 [View] TZAVで修正した内容が正しく反映されているか確認</t>
  </si>
  <si>
    <t>No.31合成画像(Sim+CADスルー画像)の作成
SSDデータの作成</t>
  </si>
  <si>
    <t>No.32[見え方成立性検証]</t>
  </si>
  <si>
    <t>No.33[見え方成立性検証資料まとめ]</t>
  </si>
  <si>
    <t>No.34[見え方SW作成]</t>
  </si>
  <si>
    <t>No.35[見え方SW表示確認]</t>
  </si>
  <si>
    <t>No.36 OSDの更新</t>
  </si>
  <si>
    <t>3V0A</t>
  </si>
  <si>
    <t>No.40 (3V0A)Frカメラ取り付け位置変更による影響確認</t>
  </si>
  <si>
    <t>No.43 [OSDの更新]</t>
  </si>
  <si>
    <t>No.48 [(3V0A)直前直左法規検証]</t>
  </si>
  <si>
    <t>31EA</t>
  </si>
  <si>
    <t>No.41 (31EA)Rrカメラ取り付け位置変更による影響確認</t>
  </si>
  <si>
    <t>祁胜锋</t>
  </si>
  <si>
    <t>3F0A</t>
  </si>
  <si>
    <t>No.46[成立性検証資料作成依頼]</t>
  </si>
  <si>
    <t>No.49 [31EAのSPEC修正]</t>
  </si>
  <si>
    <t>No.50 [(3A0A)3D-View(Fr/Rr)キャプチャ取得依頼]</t>
  </si>
  <si>
    <t>３V０A</t>
  </si>
  <si>
    <t>[View] GV黒箱サイズ算出</t>
  </si>
  <si>
    <t>icon data作成</t>
  </si>
  <si>
    <t>[View/Aim] バリ数検討（統合可否検討）</t>
  </si>
  <si>
    <t>[View/Aim] OVM-Tool成立性検証</t>
  </si>
  <si>
    <t>「View/Aim」成立性検証資料作成＆SPECシート作成</t>
  </si>
  <si>
    <t>[View] 検証用CG画像作成</t>
  </si>
  <si>
    <t>[View] 線描画検証</t>
  </si>
  <si>
    <t>[View] 検証結果資料作成＆SPECシート作成</t>
  </si>
  <si>
    <t>[View] アイコンチューニング</t>
  </si>
  <si>
    <t>OSD作成</t>
  </si>
  <si>
    <t>3A0A（3C0A、3C2A）</t>
  </si>
  <si>
    <t xml:space="preserve">[View] 検証用CG画像作成
</t>
  </si>
  <si>
    <t xml:space="preserve">[View] 線描画検証
</t>
  </si>
  <si>
    <t>3A0A（3E7A）</t>
  </si>
  <si>
    <t xml:space="preserve">[View] OSD作成
</t>
  </si>
  <si>
    <t>[View]デザインXC#1資料作成  [View] デザインXC#1資料展開</t>
  </si>
  <si>
    <t xml:space="preserve">①成立性検証結果資料
　②SPECシート
</t>
  </si>
  <si>
    <t>ソフト設計[View/Aim] 最大ズレ検証</t>
  </si>
  <si>
    <t xml:space="preserve">[View]デザインXC#1資料作成  [View] デザインXC#1資料展開
</t>
  </si>
  <si>
    <t xml:space="preserve">①成立性検証結果資料②SPECシート
</t>
  </si>
  <si>
    <t xml:space="preserve">ソフト設計[View/Aim] 最大ズレ検証
</t>
  </si>
  <si>
    <t xml:space="preserve">[View] アイコンチューニング
</t>
  </si>
  <si>
    <t xml:space="preserve">[View] GV黒箱サイズ算出
</t>
  </si>
  <si>
    <t xml:space="preserve">
[View/Aim] OVM-Tool成立性検証
</t>
  </si>
  <si>
    <t>Mode</t>
  </si>
  <si>
    <t>[Mode]003_T90A TrailMode</t>
  </si>
  <si>
    <t>张婷婷</t>
  </si>
  <si>
    <t>[Mode]004_SONARのCANID：269が対応していない</t>
  </si>
  <si>
    <t>[Mode]006_DEF_067279：Mirror SWを入れてIG OFF →ON、MVC画面が二回連続点滅</t>
  </si>
  <si>
    <t>刘旭</t>
  </si>
  <si>
    <r>
      <rPr>
        <sz val="10"/>
        <rFont val="MS PGothic"/>
        <family val="2"/>
        <charset val="128"/>
      </rPr>
      <t>中村</t>
    </r>
    <r>
      <rPr>
        <sz val="10"/>
        <rFont val="宋体"/>
        <family val="3"/>
        <charset val="134"/>
      </rPr>
      <t>关闭
不需要对应</t>
    </r>
  </si>
  <si>
    <t>[Mode]007_DEF_067281：MVC画面で舵角センサの故障を数回に実施し、故障文言の提示がただ一回が発生</t>
  </si>
  <si>
    <t>Pending</t>
  </si>
  <si>
    <t>仕様確認中</t>
  </si>
  <si>
    <t xml:space="preserve">[Mode]008_DEF_067283：Mirror off条件でIG OFF →ON、MVC画面はMirror onの状態を表示された </t>
  </si>
  <si>
    <t>张世为</t>
  </si>
  <si>
    <t xml:space="preserve">[Mode]009_DEF_068326：ミラーオープン時、IG OFF→IG ON後、GV画面の車はDayモードが表示されてから、Nightモードが表示される </t>
  </si>
  <si>
    <t xml:space="preserve">[Mode]010_DEF_068369：IG OFF→IG ON後、シフトRに切り換えると、BSI-CTMアイコンが表示されない。 </t>
  </si>
  <si>
    <t>[Mode]020_APS機能 VID_SW HI固着のシーケンス対応</t>
  </si>
  <si>
    <t>ALL</t>
  </si>
  <si>
    <t>[Mode]026_30-05_APS吹鳴音仕様書_00.pptx</t>
  </si>
  <si>
    <t>[Mode]027_31-01_APSユニット表示要求仕様typeB_12.pptx</t>
  </si>
  <si>
    <t>[Mode]028_31-03_APSユニット車両カスタマイズ変更仕様_00d.pptx</t>
  </si>
  <si>
    <t>[Mode]029_31-10APSユニット表示要求仕様forMETER_08.pptx</t>
  </si>
  <si>
    <t>[Mode]030_不具合への一次解析
31AA_KH_APS_Buglist_20210520.xlsx</t>
  </si>
  <si>
    <r>
      <rPr>
        <sz val="10"/>
        <rFont val="MS PGothic"/>
        <family val="2"/>
        <charset val="128"/>
      </rPr>
      <t>[Mode]031_SI動作確認
SI前動作確認+P票</t>
    </r>
    <r>
      <rPr>
        <sz val="10"/>
        <rFont val="宋体"/>
        <family val="3"/>
        <charset val="134"/>
      </rPr>
      <t>确认</t>
    </r>
    <r>
      <rPr>
        <sz val="10"/>
        <rFont val="MS PGothic"/>
        <family val="2"/>
        <charset val="128"/>
      </rPr>
      <t xml:space="preserve">
SI後動作確認+P票</t>
    </r>
    <r>
      <rPr>
        <sz val="10"/>
        <rFont val="宋体"/>
        <family val="3"/>
        <charset val="134"/>
      </rPr>
      <t>确认</t>
    </r>
  </si>
  <si>
    <t>[Mode]032_SI動作確認
SI後動作確認</t>
  </si>
  <si>
    <t>[Mode]033_3A0A_DAY／NIGHT情報</t>
  </si>
  <si>
    <t>学习计划</t>
  </si>
  <si>
    <r>
      <rPr>
        <sz val="10"/>
        <rFont val="MS PGothic"/>
        <family val="2"/>
        <charset val="128"/>
      </rPr>
      <t>学</t>
    </r>
    <r>
      <rPr>
        <sz val="10"/>
        <rFont val="宋体"/>
        <family val="3"/>
        <charset val="134"/>
      </rPr>
      <t>习总结</t>
    </r>
  </si>
  <si>
    <r>
      <rPr>
        <sz val="10"/>
        <rFont val="MS PGothic"/>
        <family val="2"/>
        <charset val="128"/>
      </rPr>
      <t>[View]</t>
    </r>
    <r>
      <rPr>
        <sz val="10"/>
        <rFont val="宋体"/>
        <family val="3"/>
        <charset val="134"/>
      </rPr>
      <t>关联工作学习总结实操</t>
    </r>
  </si>
  <si>
    <r>
      <rPr>
        <sz val="10"/>
        <rFont val="MS PGothic"/>
        <family val="2"/>
        <charset val="128"/>
      </rPr>
      <t>刘</t>
    </r>
    <r>
      <rPr>
        <sz val="10"/>
        <rFont val="宋体"/>
        <family val="3"/>
        <charset val="134"/>
      </rPr>
      <t>双</t>
    </r>
  </si>
  <si>
    <t>300H</t>
  </si>
  <si>
    <r>
      <rPr>
        <sz val="10"/>
        <rFont val="宋体"/>
        <family val="3"/>
        <charset val="134"/>
      </rPr>
      <t>资</t>
    </r>
    <r>
      <rPr>
        <sz val="10"/>
        <rFont val="MS PGothic"/>
        <family val="2"/>
        <charset val="128"/>
      </rPr>
      <t>料学</t>
    </r>
    <r>
      <rPr>
        <sz val="10"/>
        <rFont val="宋体"/>
        <family val="3"/>
        <charset val="134"/>
      </rPr>
      <t>习</t>
    </r>
  </si>
  <si>
    <r>
      <rPr>
        <sz val="10"/>
        <rFont val="MS PGothic"/>
        <family val="2"/>
        <charset val="128"/>
      </rPr>
      <t>[view]01_ VIEW\40_仕様&amp;開発日程下</t>
    </r>
    <r>
      <rPr>
        <sz val="10"/>
        <rFont val="宋体"/>
        <family val="3"/>
        <charset val="134"/>
      </rPr>
      <t>资</t>
    </r>
    <r>
      <rPr>
        <sz val="10"/>
        <rFont val="MS PGothic"/>
        <family val="2"/>
        <charset val="128"/>
      </rPr>
      <t>料学</t>
    </r>
    <r>
      <rPr>
        <sz val="10"/>
        <rFont val="宋体"/>
        <family val="3"/>
        <charset val="134"/>
      </rPr>
      <t>习</t>
    </r>
  </si>
  <si>
    <t>80H</t>
  </si>
  <si>
    <r>
      <rPr>
        <sz val="10"/>
        <rFont val="宋体"/>
        <family val="3"/>
        <charset val="134"/>
      </rPr>
      <t>资</t>
    </r>
    <r>
      <rPr>
        <sz val="10"/>
        <rFont val="MS PGothic"/>
        <family val="2"/>
        <charset val="128"/>
      </rPr>
      <t>料整理</t>
    </r>
  </si>
  <si>
    <r>
      <rPr>
        <sz val="10"/>
        <rFont val="MS PGothic"/>
        <family val="2"/>
        <charset val="128"/>
      </rPr>
      <t>[View][ALL]按照机</t>
    </r>
    <r>
      <rPr>
        <sz val="10"/>
        <rFont val="宋体"/>
        <family val="3"/>
        <charset val="134"/>
      </rPr>
      <t>种</t>
    </r>
    <r>
      <rPr>
        <sz val="10"/>
        <rFont val="MS PGothic"/>
        <family val="2"/>
        <charset val="128"/>
      </rPr>
      <t>分</t>
    </r>
    <r>
      <rPr>
        <sz val="10"/>
        <rFont val="宋体"/>
        <family val="3"/>
        <charset val="134"/>
      </rPr>
      <t>类</t>
    </r>
    <r>
      <rPr>
        <sz val="10"/>
        <rFont val="MS PGothic"/>
        <family val="2"/>
        <charset val="128"/>
      </rPr>
      <t>，整理view</t>
    </r>
    <r>
      <rPr>
        <sz val="10"/>
        <rFont val="宋体"/>
        <family val="3"/>
        <charset val="134"/>
      </rPr>
      <t>关</t>
    </r>
    <r>
      <rPr>
        <sz val="10"/>
        <rFont val="宋体"/>
        <family val="3"/>
        <charset val="134"/>
      </rPr>
      <t>联资</t>
    </r>
    <r>
      <rPr>
        <sz val="10"/>
        <rFont val="MS PGothic"/>
        <family val="2"/>
        <charset val="128"/>
      </rPr>
      <t>料</t>
    </r>
  </si>
  <si>
    <r>
      <rPr>
        <sz val="10"/>
        <rFont val="MS PGothic"/>
        <family val="2"/>
        <charset val="128"/>
      </rPr>
      <t>CAN</t>
    </r>
    <r>
      <rPr>
        <sz val="10"/>
        <rFont val="宋体"/>
        <family val="3"/>
        <charset val="134"/>
      </rPr>
      <t>设计梳理</t>
    </r>
  </si>
  <si>
    <r>
      <rPr>
        <sz val="10"/>
        <rFont val="MS PGothic"/>
        <family val="2"/>
        <charset val="128"/>
      </rPr>
      <t>[CAN][ALL]CAN</t>
    </r>
    <r>
      <rPr>
        <sz val="10"/>
        <rFont val="宋体"/>
        <family val="3"/>
        <charset val="134"/>
      </rPr>
      <t>设计资</t>
    </r>
    <r>
      <rPr>
        <sz val="10"/>
        <rFont val="MS PGothic"/>
        <family val="2"/>
        <charset val="128"/>
      </rPr>
      <t>料消化和梳理</t>
    </r>
  </si>
  <si>
    <r>
      <rPr>
        <sz val="10"/>
        <rFont val="MS PGothic"/>
        <family val="2"/>
        <charset val="128"/>
      </rPr>
      <t>DIAG</t>
    </r>
    <r>
      <rPr>
        <sz val="10"/>
        <rFont val="宋体"/>
        <family val="3"/>
        <charset val="134"/>
      </rPr>
      <t>设计</t>
    </r>
    <r>
      <rPr>
        <sz val="10"/>
        <rFont val="MS PGothic"/>
        <family val="2"/>
        <charset val="128"/>
      </rPr>
      <t>梳理</t>
    </r>
  </si>
  <si>
    <r>
      <rPr>
        <sz val="10"/>
        <rFont val="MS PGothic"/>
        <family val="2"/>
        <charset val="128"/>
      </rPr>
      <t>[DIAG][ALL]DIAG</t>
    </r>
    <r>
      <rPr>
        <sz val="10"/>
        <rFont val="宋体"/>
        <family val="3"/>
        <charset val="134"/>
      </rPr>
      <t>设计资</t>
    </r>
    <r>
      <rPr>
        <sz val="10"/>
        <rFont val="MS PGothic"/>
        <family val="2"/>
        <charset val="128"/>
      </rPr>
      <t>料消化和梳理</t>
    </r>
  </si>
  <si>
    <r>
      <rPr>
        <sz val="10"/>
        <rFont val="MS PGothic"/>
        <family val="2"/>
        <charset val="128"/>
      </rPr>
      <t>View式</t>
    </r>
    <r>
      <rPr>
        <sz val="10"/>
        <rFont val="宋体"/>
        <family val="3"/>
        <charset val="134"/>
      </rPr>
      <t>样学习</t>
    </r>
  </si>
  <si>
    <r>
      <rPr>
        <sz val="10"/>
        <rFont val="MS PGothic"/>
        <family val="2"/>
        <charset val="128"/>
      </rPr>
      <t>[View][ALL]01_ VIEW\40_仕様&amp;開発日程下</t>
    </r>
    <r>
      <rPr>
        <sz val="10"/>
        <rFont val="宋体"/>
        <family val="3"/>
        <charset val="134"/>
      </rPr>
      <t>资</t>
    </r>
    <r>
      <rPr>
        <sz val="10"/>
        <rFont val="MS PGothic"/>
        <family val="2"/>
        <charset val="128"/>
      </rPr>
      <t>料学</t>
    </r>
    <r>
      <rPr>
        <sz val="10"/>
        <rFont val="宋体"/>
        <family val="3"/>
        <charset val="134"/>
      </rPr>
      <t>习</t>
    </r>
  </si>
  <si>
    <t>1人月=20.75人日=166人時</t>
  </si>
  <si>
    <r>
      <rPr>
        <sz val="11"/>
        <color theme="1"/>
        <rFont val="MS PGothic"/>
        <family val="2"/>
        <charset val="128"/>
      </rPr>
      <t>合</t>
    </r>
    <r>
      <rPr>
        <sz val="11"/>
        <color theme="1"/>
        <rFont val="宋体"/>
        <family val="3"/>
        <charset val="134"/>
      </rPr>
      <t>计</t>
    </r>
    <r>
      <rPr>
        <sz val="11"/>
        <color theme="1"/>
        <rFont val="MS PGothic"/>
        <family val="2"/>
        <charset val="128"/>
      </rPr>
      <t>：</t>
    </r>
  </si>
  <si>
    <t>#</t>
  </si>
  <si>
    <t>跟踪</t>
  </si>
  <si>
    <t>状态</t>
  </si>
  <si>
    <t>优先级</t>
  </si>
  <si>
    <t>主题</t>
  </si>
  <si>
    <t>指派给</t>
  </si>
  <si>
    <t>% 完成</t>
  </si>
  <si>
    <t>计划完成日期</t>
  </si>
  <si>
    <t>DEV_Activity</t>
  </si>
  <si>
    <t>Closed</t>
  </si>
  <si>
    <t>普通</t>
  </si>
  <si>
    <t>【CAN世代变更】【V2.1】【V2.0】CAN_Diff补充3世代实装信息</t>
  </si>
  <si>
    <t>Wang Hao 王浩</t>
  </si>
  <si>
    <t>【CAN世代变更】【V2.1】【V2.0】NAP_ソフト詳細設計書_CAN台帳編.xlsx</t>
  </si>
  <si>
    <t>【CAN世代变更】【V2.1】【V2.0】NAP_20MY共有メモリ管理.xlsm作成</t>
  </si>
  <si>
    <t>Hu Xiaoyue 胡 小月</t>
  </si>
  <si>
    <t>【CAN世代变更】【V2.1】【V2.0】NAP_ソフト詳細設計書_SIGNAL_sig_conv_変数定数_関数定義編.xls</t>
  </si>
  <si>
    <t>【CAN世代变更】【V2.1】【V2.0】NAP_ソフト詳細設計書_SIGNAL_InterFace編.xls</t>
  </si>
  <si>
    <t>【CAN世代变更】【V2.1】【V2.0】MM_info_cn.c</t>
  </si>
  <si>
    <t>【CAN世代变更】【V2.1】【V2.0】MM_Info_CAN_ex.h</t>
  </si>
  <si>
    <t>【CAN世代变更】【V2.1】【V2.0】MM_Info_RHCAN.c</t>
  </si>
  <si>
    <t>【CAN世代变更】【V2.1】【V2.0】MM_Info_RHCAN_ex.h</t>
  </si>
  <si>
    <t>【CAN世代变更】【V2.1】【V2.0】sig_conv.c</t>
  </si>
  <si>
    <t>【CAN世代变更】【V2.1】【V2.0】sig_msg_ex.h</t>
  </si>
  <si>
    <t>【CAN世代变更】【V2.1】【V2.0】NAP_ソフト詳細設計書_CAN_config_変数定数_関数定義編.xls</t>
  </si>
  <si>
    <t>【CAN世代变更】【V2.1】【V2.0】dg_main.c</t>
  </si>
  <si>
    <t>【CAN世代变更】【V2.1】【V2.0】dg_main.h</t>
  </si>
  <si>
    <t>【CAN世代变更】【V2.1】【V2.0】dg_main_ex.h</t>
  </si>
  <si>
    <t>【CAN世代变更】【V2.1】【V2.0】dg_msg_ex.h</t>
  </si>
  <si>
    <t>【CAN世代变更】【V2.1】pa_Inhibit_RH.c</t>
  </si>
  <si>
    <t>【CAN世代变更】【V2.1】【V2.0】pa_Inhibit_Output.h</t>
  </si>
  <si>
    <t>【CAN世代变更】【V2.1】【V2.0】VCANTool改造</t>
  </si>
  <si>
    <t>【CAN世代变更】【V2.1】送信CANID实装(Sonar)</t>
  </si>
  <si>
    <t>【CAN世代变更】【V2.1】送信CANID实装(其他)</t>
  </si>
  <si>
    <t>Working</t>
  </si>
  <si>
    <t>【CAN世代变更】【V2.1】【V2.0】NAP_ソフト詳細設計書_CAN_common_変数定数_関数定義編.xls</t>
  </si>
  <si>
    <t>Wang Jun 王 俊</t>
  </si>
  <si>
    <t>【CAN世代变更】【V2.1】can_common_ex.h</t>
  </si>
  <si>
    <t>【CAN世代变更】【V2.1】canm_config.c</t>
  </si>
  <si>
    <t>【CAN世代变更】【V2.1】【V2.0】sgm_buff.c</t>
  </si>
  <si>
    <t>【CAN世代变更】【V2.1】【V2.0】pa_main.c</t>
  </si>
  <si>
    <t>【CAN世代变更】【V2.1】【V2.0】NAP_ソフト詳細設計書_CAN_vcan_mm_write_変数定数_関数定義編.xls</t>
  </si>
  <si>
    <t>【CAN世代变更】【V2.1】【V2.0】NAP_ソフト詳細設計書_CAN_vcan_変数定数_関数定義編.xls</t>
  </si>
  <si>
    <t>【CAN世代变更】【V2.1】【V2.0】NAP_ソフト詳細設計書_RH_CAN制御.doc</t>
  </si>
  <si>
    <t>【CAN世代变更】【V2.1】【V2.0】NAP_ソフト詳細設計書_RH_CAN制御_変数定数_定義編.xls</t>
  </si>
  <si>
    <t>【CAN世代变更】【V2.1】pa_main_RH.c</t>
  </si>
  <si>
    <t>【CAN世代变更】【V2.1】【2.0】pa_main_RH.h</t>
  </si>
  <si>
    <t>【CAN世代变更】【V2.1】【V2.0】NAP_ソフト詳細設計書_SDA_変数定数_関数定義編.xls</t>
  </si>
  <si>
    <t>【CAN世代变更】【V2.1】【V2.0】IPA_Inhibit_main.c</t>
  </si>
  <si>
    <t>【CAN世代变更】【V2.1】【V2.0】SonerDataAssemble.c</t>
  </si>
  <si>
    <t>【CAN世代变更】【V2.1】dbgcmd.c</t>
  </si>
  <si>
    <t>【CAN世代变更】【V2.1】cpucom_debug.c</t>
  </si>
  <si>
    <t>【CAN世代变更】【V2.1】【V2.0】MM_Info_RH.c</t>
  </si>
  <si>
    <t>【CAN世代变更】【V2.1】【V2.0】MM_Info_RH_ex.h</t>
  </si>
  <si>
    <t>【CAN世代变更】【V2.1】【V2.0】NAP_ソフト詳細設計書_SIGNAL_送信テーブル詳細.xls</t>
  </si>
  <si>
    <t>【CAN世代变更】【V2.1】【V2.0】cn_vcan_mm_write.c</t>
  </si>
  <si>
    <t>【CAN世代变更】【V2.1】canctl.c</t>
  </si>
  <si>
    <t>Development_Defect</t>
  </si>
  <si>
    <t>Assigned</t>
  </si>
  <si>
    <t>高</t>
  </si>
  <si>
    <t>【CAN世代变更】【CT】系统重启</t>
  </si>
  <si>
    <t>Zhang Tingting 张 婷婷</t>
  </si>
  <si>
    <t>低</t>
  </si>
  <si>
    <t>【CAN世代变更】【CT】CANID 579 收到的E_SIG_R_SONAR_SYS_MODE_STS值不正确</t>
  </si>
  <si>
    <t>【CAN世代变更】【CT】MM_Read ERROR</t>
  </si>
  <si>
    <t>Chen Yunhao 陈 云浩</t>
  </si>
  <si>
    <t>【CAN世代变更】【CT】config table中包含CANID 309 30A 386 396 397时，soner画面不显示</t>
  </si>
  <si>
    <t>【CAN世代变更】【V2.1】NAP_ソフト詳細設計書_DIAG_共通_変数定数_関数定義編.xls</t>
  </si>
  <si>
    <t>【CAN世代变更】【V2.1】NAP_ソフト詳細設計書_DIAG_故障診断_変数定数_関数定義編.xls</t>
  </si>
  <si>
    <t>【CAN世代变更】【V2.1】NAP_ソフト詳細設計書_DIAG_マトリクス(フェールセーフ)_変数定数_関数定義編.xls</t>
  </si>
  <si>
    <t>【CAN世代变更】【V2.1】NAP_ソフト詳細設計書_DIAG_補足資料編.xls</t>
  </si>
  <si>
    <t>【CAN世代变更】【V2.1】NAP_ソフト詳細設計書_DIAG_エラー管理編.xls</t>
  </si>
  <si>
    <t>【CAN世代变更】【V2.1】CK_WinterSweet_FunctionalTestCase_ALL.xlsx</t>
  </si>
  <si>
    <t>【CAN世代变更】【V3.0】NAP_ソフト詳細設計書_CAN_vcan_mm_write_変数定数_関数定義編.xls   流程图</t>
  </si>
  <si>
    <t>【CAN世代变更】【详细设计】评审（内部）NAP_ソフト詳細設計書_CAN_common_変数定数_関数定義編.xls</t>
  </si>
  <si>
    <t>【CAN世代变更】【V2.1】CT动作确认执行（CK_WinterSweet_FunctionalTestCase_ALL.xlsx）</t>
  </si>
  <si>
    <t>【CAN世代变更】【详细设计】评审（内部）NAP_ソフト詳細設計書_CAN.doc</t>
  </si>
  <si>
    <t>【CAN世代变更】【V3.0】単体テスト（詳細設計書 做成）</t>
  </si>
  <si>
    <t>【CAN世代变更】【V3.0】NAP_ソフト詳細設計書_SDA_変数定数_関数定義編.xls  流程图更新</t>
  </si>
  <si>
    <t>【CAN世代变更】【V3.0】代码评审</t>
  </si>
  <si>
    <t>New</t>
  </si>
  <si>
    <t>【CAN世代变更】【架构设计书变更】评审（外部）</t>
  </si>
  <si>
    <t>【CAN世代变更】【架构设计书变更】评审（外部）NAP_20MY共有メモリ管理</t>
  </si>
  <si>
    <t>【CAN世代变更】【架构设计书变更】评审（外部）NAP_ソフトアーキテクチャ設計書_RCar_基本機能シーケンス</t>
  </si>
  <si>
    <t>【CAN世代变更】【详细设计】评审（外部）NAP_ソフト詳細設計書_CAN_config_変数定数_関数定義編.xls</t>
  </si>
  <si>
    <t>【CAN世代变更】【详细设计】评审（外部）NAP_ソフト詳細設計書_CAN台帳編.xlsx</t>
  </si>
  <si>
    <t>【CAN世代变更】【V3.0】NAP_ソフト詳細設計書_CAN.doc</t>
  </si>
  <si>
    <t>【CAN世代变更】【V3.0】静的解析(Anywarp)</t>
  </si>
  <si>
    <t>【CAN世代变更】【V3.0】単体テスト（C++ Test）</t>
  </si>
  <si>
    <t>【CAN世代变更】【V3.0】単体テスト（詳細設計書 执行）</t>
  </si>
  <si>
    <t>No.7ソフトアーキテクチャ設計書_CAN台帳の反映</t>
    <phoneticPr fontId="8" type="noConversion"/>
  </si>
  <si>
    <t>No.8詳細設計書の反映</t>
    <phoneticPr fontId="8" type="noConversion"/>
  </si>
  <si>
    <t>No.11機能テスト設計書の確認</t>
    <phoneticPr fontId="8" type="noConversion"/>
  </si>
  <si>
    <t>3A0A</t>
    <phoneticPr fontId="8" type="noConversion"/>
  </si>
  <si>
    <t>No.9 No.10
CAN_TOOL</t>
    <phoneticPr fontId="8" type="noConversion"/>
  </si>
  <si>
    <t>No.12 No.13
TZAV</t>
    <phoneticPr fontId="8" type="noConversion"/>
  </si>
  <si>
    <t>No.12 CAN</t>
    <phoneticPr fontId="8" type="noConversion"/>
  </si>
  <si>
    <t>No.13 故障診断</t>
    <phoneticPr fontId="8" type="noConversion"/>
  </si>
  <si>
    <t>No.14 No.15
32RA</t>
    <phoneticPr fontId="8" type="noConversion"/>
  </si>
  <si>
    <t>No.14
CAN</t>
    <phoneticPr fontId="8" type="noConversion"/>
  </si>
  <si>
    <t>No.15
故障診断</t>
    <phoneticPr fontId="8" type="noConversion"/>
  </si>
  <si>
    <r>
      <t>[Mode]002_3A0A アニメーション機能（APSポップアップ）作</t>
    </r>
    <r>
      <rPr>
        <sz val="10"/>
        <rFont val="宋体"/>
        <family val="3"/>
        <charset val="134"/>
      </rPr>
      <t>业学习和整理</t>
    </r>
    <phoneticPr fontId="8" type="noConversion"/>
  </si>
  <si>
    <t>002 3A0A</t>
    <phoneticPr fontId="8" type="noConversion"/>
  </si>
  <si>
    <t>003 T90A</t>
    <phoneticPr fontId="8" type="noConversion"/>
  </si>
  <si>
    <t>004 T90A</t>
    <phoneticPr fontId="8" type="noConversion"/>
  </si>
  <si>
    <t>[Mode]005_APS吹鳴音仕様書内容確認</t>
    <phoneticPr fontId="8" type="noConversion"/>
  </si>
  <si>
    <t>005 All</t>
    <phoneticPr fontId="8" type="noConversion"/>
  </si>
  <si>
    <t>006 T90A</t>
    <phoneticPr fontId="8" type="noConversion"/>
  </si>
  <si>
    <t>007 T90A</t>
    <phoneticPr fontId="8" type="noConversion"/>
  </si>
  <si>
    <t>008 T90A</t>
    <phoneticPr fontId="8" type="noConversion"/>
  </si>
  <si>
    <t>009 T90A</t>
    <phoneticPr fontId="8" type="noConversion"/>
  </si>
  <si>
    <t>010 T90A</t>
    <phoneticPr fontId="8" type="noConversion"/>
  </si>
  <si>
    <t>020 31AA/3A0A</t>
    <phoneticPr fontId="8" type="noConversion"/>
  </si>
  <si>
    <t>026 ALL</t>
    <phoneticPr fontId="8" type="noConversion"/>
  </si>
  <si>
    <t>027 ALL</t>
    <phoneticPr fontId="8" type="noConversion"/>
  </si>
  <si>
    <t>028 ALL</t>
    <phoneticPr fontId="8" type="noConversion"/>
  </si>
  <si>
    <t>029 ALL</t>
    <phoneticPr fontId="8" type="noConversion"/>
  </si>
  <si>
    <t>030 31AA</t>
    <phoneticPr fontId="8" type="noConversion"/>
  </si>
  <si>
    <t>031 T90A</t>
    <phoneticPr fontId="8" type="noConversion"/>
  </si>
  <si>
    <t>032 TZAV</t>
    <phoneticPr fontId="8" type="noConversion"/>
  </si>
  <si>
    <t>033 3A0A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</si>
</sst>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8" formatCode="#0&quot;H&quot;"/>
    <numFmt numFmtId="179" formatCode="#0.00&quot;人月&quot;"/>
  </numFmts>
  <fonts count="9" x14ac:knownFonts="1">
    <font>
      <sz val="11"/>
      <color theme="1"/>
      <name val="宋体"/>
      <charset val="134"/>
      <scheme val="minor"/>
    </font>
    <font>
      <sz val="11"/>
      <color theme="1"/>
      <name val="MS PGothic"/>
      <family val="2"/>
      <charset val="128"/>
    </font>
    <font>
      <sz val="10"/>
      <name val="MS PGothic"/>
      <family val="2"/>
      <charset val="128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5178075502792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82909634693444"/>
        <bgColor indexed="64"/>
      </patternFill>
    </fill>
    <fill>
      <patternFill patternType="solid">
        <fgColor theme="6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0">
    <xf numFmtId="0" fontId="0" fillId="0" borderId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" fillId="0" borderId="0"/>
  </cellStyleXfs>
  <cellXfs count="212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Fill="1"/>
    <xf numFmtId="0" fontId="0" fillId="0" borderId="0" xfId="0" applyFill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1" fillId="0" borderId="0" xfId="0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3" borderId="4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vertical="center"/>
    </xf>
    <xf numFmtId="0" fontId="2" fillId="5" borderId="7" xfId="0" applyFont="1" applyFill="1" applyBorder="1" applyAlignment="1" applyProtection="1">
      <alignment horizontal="left" vertical="top" wrapText="1"/>
      <protection locked="0"/>
    </xf>
    <xf numFmtId="9" fontId="2" fillId="5" borderId="7" xfId="0" applyNumberFormat="1" applyFont="1" applyFill="1" applyBorder="1" applyAlignment="1" applyProtection="1">
      <alignment horizontal="left" vertical="top" wrapText="1"/>
      <protection locked="0"/>
    </xf>
    <xf numFmtId="0" fontId="2" fillId="5" borderId="10" xfId="0" applyFont="1" applyFill="1" applyBorder="1" applyAlignment="1" applyProtection="1">
      <alignment horizontal="left" vertical="top" wrapText="1"/>
      <protection locked="0"/>
    </xf>
    <xf numFmtId="0" fontId="2" fillId="5" borderId="11" xfId="0" applyFont="1" applyFill="1" applyBorder="1" applyAlignment="1" applyProtection="1">
      <alignment horizontal="left" vertical="top" wrapText="1"/>
      <protection locked="0"/>
    </xf>
    <xf numFmtId="9" fontId="2" fillId="5" borderId="11" xfId="0" applyNumberFormat="1" applyFont="1" applyFill="1" applyBorder="1" applyAlignment="1" applyProtection="1">
      <alignment horizontal="left" vertical="top" wrapText="1"/>
      <protection locked="0"/>
    </xf>
    <xf numFmtId="0" fontId="2" fillId="5" borderId="12" xfId="0" applyFont="1" applyFill="1" applyBorder="1" applyAlignment="1" applyProtection="1">
      <alignment horizontal="left" vertical="top" wrapText="1"/>
      <protection locked="0"/>
    </xf>
    <xf numFmtId="0" fontId="2" fillId="2" borderId="11" xfId="0" applyFont="1" applyFill="1" applyBorder="1" applyAlignment="1" applyProtection="1">
      <alignment horizontal="left" vertical="top" wrapText="1"/>
      <protection locked="0"/>
    </xf>
    <xf numFmtId="9" fontId="2" fillId="2" borderId="11" xfId="0" applyNumberFormat="1" applyFont="1" applyFill="1" applyBorder="1" applyAlignment="1" applyProtection="1">
      <alignment horizontal="left" vertical="top" wrapText="1"/>
      <protection locked="0"/>
    </xf>
    <xf numFmtId="9" fontId="2" fillId="5" borderId="12" xfId="0" applyNumberFormat="1" applyFont="1" applyFill="1" applyBorder="1" applyAlignment="1" applyProtection="1">
      <alignment horizontal="left" vertical="top" wrapText="1"/>
      <protection locked="0"/>
    </xf>
    <xf numFmtId="0" fontId="2" fillId="0" borderId="5" xfId="0" applyFont="1" applyFill="1" applyBorder="1" applyAlignment="1" applyProtection="1">
      <alignment horizontal="left" vertical="top" wrapText="1"/>
      <protection locked="0"/>
    </xf>
    <xf numFmtId="0" fontId="2" fillId="0" borderId="7" xfId="0" applyFont="1" applyFill="1" applyBorder="1" applyAlignment="1" applyProtection="1">
      <alignment horizontal="left" vertical="top" wrapText="1"/>
      <protection locked="0"/>
    </xf>
    <xf numFmtId="9" fontId="2" fillId="0" borderId="7" xfId="0" applyNumberFormat="1" applyFont="1" applyFill="1" applyBorder="1" applyAlignment="1" applyProtection="1">
      <alignment horizontal="left" vertical="top" wrapText="1"/>
      <protection locked="0"/>
    </xf>
    <xf numFmtId="0" fontId="2" fillId="0" borderId="11" xfId="0" applyFont="1" applyFill="1" applyBorder="1" applyAlignment="1" applyProtection="1">
      <alignment horizontal="left" vertical="top" wrapText="1"/>
      <protection locked="0"/>
    </xf>
    <xf numFmtId="9" fontId="2" fillId="0" borderId="11" xfId="0" applyNumberFormat="1" applyFont="1" applyFill="1" applyBorder="1" applyAlignment="1" applyProtection="1">
      <alignment horizontal="left" vertical="top" wrapText="1"/>
      <protection locked="0"/>
    </xf>
    <xf numFmtId="0" fontId="2" fillId="0" borderId="10" xfId="0" applyFont="1" applyFill="1" applyBorder="1" applyAlignment="1" applyProtection="1">
      <alignment horizontal="left" vertical="top" wrapText="1"/>
      <protection locked="0"/>
    </xf>
    <xf numFmtId="0" fontId="2" fillId="0" borderId="12" xfId="0" applyFont="1" applyFill="1" applyBorder="1" applyAlignment="1" applyProtection="1">
      <alignment horizontal="left" vertical="top" wrapText="1"/>
      <protection locked="0"/>
    </xf>
    <xf numFmtId="0" fontId="1" fillId="4" borderId="5" xfId="0" applyFont="1" applyFill="1" applyBorder="1" applyAlignment="1"/>
    <xf numFmtId="0" fontId="1" fillId="4" borderId="5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0" fontId="1" fillId="3" borderId="5" xfId="0" applyFont="1" applyFill="1" applyBorder="1"/>
    <xf numFmtId="14" fontId="2" fillId="5" borderId="7" xfId="0" applyNumberFormat="1" applyFont="1" applyFill="1" applyBorder="1" applyAlignment="1" applyProtection="1">
      <alignment horizontal="left" vertical="top" wrapText="1"/>
      <protection locked="0"/>
    </xf>
    <xf numFmtId="178" fontId="2" fillId="5" borderId="7" xfId="0" applyNumberFormat="1" applyFont="1" applyFill="1" applyBorder="1" applyAlignment="1" applyProtection="1">
      <alignment horizontal="left" vertical="top" wrapText="1"/>
      <protection locked="0"/>
    </xf>
    <xf numFmtId="0" fontId="1" fillId="5" borderId="7" xfId="0" applyFont="1" applyFill="1" applyBorder="1" applyAlignment="1">
      <alignment horizontal="left" vertical="top"/>
    </xf>
    <xf numFmtId="14" fontId="2" fillId="5" borderId="11" xfId="0" applyNumberFormat="1" applyFont="1" applyFill="1" applyBorder="1" applyAlignment="1" applyProtection="1">
      <alignment horizontal="left" vertical="top" wrapText="1"/>
      <protection locked="0"/>
    </xf>
    <xf numFmtId="178" fontId="2" fillId="5" borderId="11" xfId="0" applyNumberFormat="1" applyFont="1" applyFill="1" applyBorder="1" applyAlignment="1" applyProtection="1">
      <alignment horizontal="left" vertical="top" wrapText="1"/>
      <protection locked="0"/>
    </xf>
    <xf numFmtId="0" fontId="1" fillId="5" borderId="11" xfId="0" applyFont="1" applyFill="1" applyBorder="1" applyAlignment="1">
      <alignment horizontal="left" vertical="top"/>
    </xf>
    <xf numFmtId="0" fontId="1" fillId="5" borderId="12" xfId="0" applyFont="1" applyFill="1" applyBorder="1" applyAlignment="1">
      <alignment vertical="top"/>
    </xf>
    <xf numFmtId="0" fontId="1" fillId="5" borderId="11" xfId="0" applyFont="1" applyFill="1" applyBorder="1" applyAlignment="1">
      <alignment vertical="top"/>
    </xf>
    <xf numFmtId="0" fontId="2" fillId="5" borderId="11" xfId="0" applyFont="1" applyFill="1" applyBorder="1" applyAlignment="1" applyProtection="1">
      <alignment vertical="center" wrapText="1"/>
      <protection locked="0"/>
    </xf>
    <xf numFmtId="0" fontId="1" fillId="5" borderId="12" xfId="0" applyFont="1" applyFill="1" applyBorder="1" applyAlignment="1">
      <alignment horizontal="left" vertical="top"/>
    </xf>
    <xf numFmtId="0" fontId="1" fillId="5" borderId="10" xfId="0" applyFont="1" applyFill="1" applyBorder="1" applyAlignment="1">
      <alignment horizontal="left" vertical="top"/>
    </xf>
    <xf numFmtId="14" fontId="2" fillId="2" borderId="11" xfId="0" applyNumberFormat="1" applyFont="1" applyFill="1" applyBorder="1" applyAlignment="1" applyProtection="1">
      <alignment horizontal="left" vertical="top" wrapText="1"/>
      <protection locked="0"/>
    </xf>
    <xf numFmtId="178" fontId="2" fillId="2" borderId="11" xfId="0" applyNumberFormat="1" applyFont="1" applyFill="1" applyBorder="1" applyAlignment="1" applyProtection="1">
      <alignment horizontal="left" vertical="top" wrapText="1"/>
      <protection locked="0"/>
    </xf>
    <xf numFmtId="0" fontId="1" fillId="0" borderId="11" xfId="0" applyFont="1" applyBorder="1" applyAlignment="1">
      <alignment horizontal="left" vertical="top"/>
    </xf>
    <xf numFmtId="14" fontId="2" fillId="5" borderId="12" xfId="0" applyNumberFormat="1" applyFont="1" applyFill="1" applyBorder="1" applyAlignment="1" applyProtection="1">
      <alignment horizontal="left" vertical="top" wrapText="1"/>
      <protection locked="0"/>
    </xf>
    <xf numFmtId="178" fontId="2" fillId="5" borderId="12" xfId="0" applyNumberFormat="1" applyFont="1" applyFill="1" applyBorder="1" applyAlignment="1" applyProtection="1">
      <alignment horizontal="left" vertical="top" wrapText="1"/>
      <protection locked="0"/>
    </xf>
    <xf numFmtId="14" fontId="2" fillId="0" borderId="7" xfId="0" applyNumberFormat="1" applyFont="1" applyFill="1" applyBorder="1" applyAlignment="1" applyProtection="1">
      <alignment horizontal="left" vertical="top" wrapText="1"/>
      <protection locked="0"/>
    </xf>
    <xf numFmtId="178" fontId="2" fillId="0" borderId="7" xfId="0" applyNumberFormat="1" applyFont="1" applyFill="1" applyBorder="1" applyAlignment="1" applyProtection="1">
      <alignment horizontal="left" vertical="top" wrapText="1"/>
      <protection locked="0"/>
    </xf>
    <xf numFmtId="0" fontId="1" fillId="0" borderId="7" xfId="0" applyFont="1" applyFill="1" applyBorder="1" applyAlignment="1">
      <alignment horizontal="left" vertical="top"/>
    </xf>
    <xf numFmtId="14" fontId="2" fillId="0" borderId="11" xfId="0" applyNumberFormat="1" applyFont="1" applyFill="1" applyBorder="1" applyAlignment="1" applyProtection="1">
      <alignment horizontal="left" vertical="top" wrapText="1"/>
      <protection locked="0"/>
    </xf>
    <xf numFmtId="178" fontId="2" fillId="0" borderId="11" xfId="0" applyNumberFormat="1" applyFont="1" applyFill="1" applyBorder="1" applyAlignment="1" applyProtection="1">
      <alignment horizontal="left" vertical="top" wrapText="1"/>
      <protection locked="0"/>
    </xf>
    <xf numFmtId="0" fontId="1" fillId="0" borderId="11" xfId="0" applyFont="1" applyFill="1" applyBorder="1" applyAlignment="1">
      <alignment horizontal="left" vertical="top"/>
    </xf>
    <xf numFmtId="0" fontId="1" fillId="3" borderId="16" xfId="0" applyFont="1" applyFill="1" applyBorder="1"/>
    <xf numFmtId="0" fontId="1" fillId="5" borderId="17" xfId="0" applyFont="1" applyFill="1" applyBorder="1" applyAlignment="1">
      <alignment horizontal="left" vertical="top" wrapText="1"/>
    </xf>
    <xf numFmtId="0" fontId="1" fillId="5" borderId="18" xfId="0" applyFont="1" applyFill="1" applyBorder="1" applyAlignment="1">
      <alignment horizontal="left" vertical="top"/>
    </xf>
    <xf numFmtId="0" fontId="1" fillId="5" borderId="18" xfId="0" applyFont="1" applyFill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/>
    </xf>
    <xf numFmtId="0" fontId="1" fillId="5" borderId="19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 wrapText="1"/>
    </xf>
    <xf numFmtId="0" fontId="1" fillId="0" borderId="18" xfId="0" applyFont="1" applyFill="1" applyBorder="1" applyAlignment="1">
      <alignment horizontal="left" vertical="top"/>
    </xf>
    <xf numFmtId="9" fontId="2" fillId="0" borderId="10" xfId="0" applyNumberFormat="1" applyFont="1" applyFill="1" applyBorder="1" applyAlignment="1" applyProtection="1">
      <alignment horizontal="left" vertical="top" wrapText="1"/>
      <protection locked="0"/>
    </xf>
    <xf numFmtId="0" fontId="2" fillId="0" borderId="22" xfId="0" applyFont="1" applyFill="1" applyBorder="1" applyAlignment="1" applyProtection="1">
      <alignment horizontal="left" vertical="top" wrapText="1"/>
      <protection locked="0"/>
    </xf>
    <xf numFmtId="0" fontId="2" fillId="0" borderId="23" xfId="0" applyFont="1" applyFill="1" applyBorder="1" applyAlignment="1" applyProtection="1">
      <alignment horizontal="left" vertical="top" wrapText="1"/>
      <protection locked="0"/>
    </xf>
    <xf numFmtId="9" fontId="2" fillId="0" borderId="23" xfId="0" applyNumberFormat="1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9" fontId="2" fillId="5" borderId="7" xfId="1" applyNumberFormat="1" applyFont="1" applyFill="1" applyBorder="1" applyAlignment="1" applyProtection="1">
      <alignment horizontal="left" vertical="top" wrapText="1"/>
      <protection locked="0"/>
    </xf>
    <xf numFmtId="9" fontId="2" fillId="5" borderId="11" xfId="1" applyNumberFormat="1" applyFont="1" applyFill="1" applyBorder="1" applyAlignment="1" applyProtection="1">
      <alignment horizontal="left" vertical="top" wrapText="1"/>
      <protection locked="0"/>
    </xf>
    <xf numFmtId="0" fontId="2" fillId="2" borderId="23" xfId="0" applyFont="1" applyFill="1" applyBorder="1" applyAlignment="1" applyProtection="1">
      <alignment horizontal="left" vertical="top" wrapText="1"/>
      <protection locked="0"/>
    </xf>
    <xf numFmtId="9" fontId="2" fillId="7" borderId="23" xfId="1" applyNumberFormat="1" applyFont="1" applyFill="1" applyBorder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9" fontId="2" fillId="2" borderId="10" xfId="1" applyNumberFormat="1" applyFont="1" applyFill="1" applyBorder="1" applyAlignment="1" applyProtection="1">
      <alignment horizontal="left" vertical="top" wrapText="1"/>
      <protection locked="0"/>
    </xf>
    <xf numFmtId="9" fontId="2" fillId="5" borderId="10" xfId="1" applyNumberFormat="1" applyFont="1" applyFill="1" applyBorder="1" applyAlignment="1" applyProtection="1">
      <alignment horizontal="left" vertical="top" wrapText="1"/>
      <protection locked="0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3" fillId="5" borderId="12" xfId="0" applyFont="1" applyFill="1" applyBorder="1" applyAlignment="1" applyProtection="1">
      <alignment horizontal="left" vertical="top" wrapText="1"/>
      <protection locked="0"/>
    </xf>
    <xf numFmtId="9" fontId="2" fillId="5" borderId="12" xfId="1" applyNumberFormat="1" applyFont="1" applyFill="1" applyBorder="1" applyAlignment="1" applyProtection="1">
      <alignment horizontal="left" vertical="top" wrapText="1"/>
      <protection locked="0"/>
    </xf>
    <xf numFmtId="9" fontId="2" fillId="2" borderId="11" xfId="1" applyNumberFormat="1" applyFont="1" applyFill="1" applyBorder="1" applyAlignment="1" applyProtection="1">
      <alignment horizontal="left" vertical="top" wrapText="1"/>
      <protection locked="0"/>
    </xf>
    <xf numFmtId="0" fontId="2" fillId="0" borderId="14" xfId="0" applyFont="1" applyFill="1" applyBorder="1" applyAlignment="1" applyProtection="1">
      <alignment horizontal="left" vertical="center" wrapText="1"/>
      <protection locked="0"/>
    </xf>
    <xf numFmtId="0" fontId="3" fillId="0" borderId="12" xfId="0" applyFont="1" applyFill="1" applyBorder="1" applyAlignment="1" applyProtection="1">
      <alignment horizontal="left" vertical="top" wrapText="1"/>
      <protection locked="0"/>
    </xf>
    <xf numFmtId="9" fontId="2" fillId="0" borderId="11" xfId="1" applyNumberFormat="1" applyFont="1" applyFill="1" applyBorder="1" applyAlignment="1" applyProtection="1">
      <alignment horizontal="left" vertical="top" wrapText="1"/>
      <protection locked="0"/>
    </xf>
    <xf numFmtId="0" fontId="2" fillId="0" borderId="12" xfId="0" applyFont="1" applyFill="1" applyBorder="1" applyAlignment="1" applyProtection="1">
      <alignment horizontal="left" vertical="top" wrapText="1"/>
      <protection locked="0"/>
    </xf>
    <xf numFmtId="0" fontId="2" fillId="0" borderId="11" xfId="0" applyFont="1" applyFill="1" applyBorder="1" applyAlignment="1" applyProtection="1">
      <alignment horizontal="left" vertical="top" wrapText="1"/>
      <protection locked="0"/>
    </xf>
    <xf numFmtId="9" fontId="2" fillId="0" borderId="11" xfId="1" applyNumberFormat="1" applyFont="1" applyFill="1" applyBorder="1" applyAlignment="1" applyProtection="1">
      <alignment horizontal="left" vertical="top" wrapText="1"/>
      <protection locked="0"/>
    </xf>
    <xf numFmtId="0" fontId="4" fillId="0" borderId="11" xfId="0" applyFont="1" applyFill="1" applyBorder="1" applyAlignment="1" applyProtection="1">
      <alignment horizontal="left" vertical="top" wrapText="1"/>
      <protection locked="0"/>
    </xf>
    <xf numFmtId="0" fontId="2" fillId="8" borderId="11" xfId="0" applyFont="1" applyFill="1" applyBorder="1" applyAlignment="1" applyProtection="1">
      <alignment horizontal="left" vertical="top" wrapText="1"/>
      <protection locked="0"/>
    </xf>
    <xf numFmtId="9" fontId="2" fillId="8" borderId="11" xfId="1" applyNumberFormat="1" applyFont="1" applyFill="1" applyBorder="1" applyAlignment="1" applyProtection="1">
      <alignment horizontal="left" vertical="top" wrapText="1"/>
      <protection locked="0"/>
    </xf>
    <xf numFmtId="14" fontId="2" fillId="0" borderId="22" xfId="0" applyNumberFormat="1" applyFont="1" applyFill="1" applyBorder="1" applyAlignment="1" applyProtection="1">
      <alignment horizontal="left" vertical="top" wrapText="1"/>
      <protection locked="0"/>
    </xf>
    <xf numFmtId="178" fontId="2" fillId="0" borderId="22" xfId="0" applyNumberFormat="1" applyFont="1" applyFill="1" applyBorder="1" applyAlignment="1" applyProtection="1">
      <alignment horizontal="left" vertical="top" wrapText="1"/>
      <protection locked="0"/>
    </xf>
    <xf numFmtId="9" fontId="2" fillId="0" borderId="22" xfId="0" applyNumberFormat="1" applyFont="1" applyFill="1" applyBorder="1" applyAlignment="1" applyProtection="1">
      <alignment horizontal="left" vertical="top" wrapText="1"/>
      <protection locked="0"/>
    </xf>
    <xf numFmtId="0" fontId="1" fillId="0" borderId="22" xfId="0" applyFont="1" applyFill="1" applyBorder="1" applyAlignment="1">
      <alignment horizontal="left" vertical="top"/>
    </xf>
    <xf numFmtId="14" fontId="2" fillId="0" borderId="23" xfId="0" applyNumberFormat="1" applyFont="1" applyFill="1" applyBorder="1" applyAlignment="1" applyProtection="1">
      <alignment horizontal="left" vertical="top" wrapText="1"/>
      <protection locked="0"/>
    </xf>
    <xf numFmtId="178" fontId="2" fillId="2" borderId="23" xfId="0" applyNumberFormat="1" applyFont="1" applyFill="1" applyBorder="1" applyAlignment="1" applyProtection="1">
      <alignment horizontal="left" vertical="top" wrapText="1"/>
      <protection locked="0"/>
    </xf>
    <xf numFmtId="9" fontId="2" fillId="0" borderId="23" xfId="1" applyNumberFormat="1" applyFont="1" applyFill="1" applyBorder="1" applyAlignment="1" applyProtection="1">
      <alignment horizontal="left" vertical="top" wrapText="1"/>
      <protection locked="0"/>
    </xf>
    <xf numFmtId="0" fontId="1" fillId="0" borderId="23" xfId="0" applyFont="1" applyBorder="1" applyAlignment="1">
      <alignment horizontal="left" vertical="top"/>
    </xf>
    <xf numFmtId="14" fontId="2" fillId="0" borderId="10" xfId="0" applyNumberFormat="1" applyFont="1" applyFill="1" applyBorder="1" applyAlignment="1" applyProtection="1">
      <alignment horizontal="left" vertical="top" wrapText="1"/>
      <protection locked="0"/>
    </xf>
    <xf numFmtId="178" fontId="2" fillId="2" borderId="10" xfId="0" applyNumberFormat="1" applyFont="1" applyFill="1" applyBorder="1" applyAlignment="1" applyProtection="1">
      <alignment horizontal="left" vertical="top" wrapText="1"/>
      <protection locked="0"/>
    </xf>
    <xf numFmtId="0" fontId="1" fillId="0" borderId="10" xfId="0" applyFont="1" applyBorder="1" applyAlignment="1">
      <alignment horizontal="left" vertical="top"/>
    </xf>
    <xf numFmtId="14" fontId="2" fillId="5" borderId="10" xfId="0" applyNumberFormat="1" applyFont="1" applyFill="1" applyBorder="1" applyAlignment="1" applyProtection="1">
      <alignment horizontal="left" vertical="top" wrapText="1"/>
      <protection locked="0"/>
    </xf>
    <xf numFmtId="178" fontId="2" fillId="5" borderId="10" xfId="0" applyNumberFormat="1" applyFont="1" applyFill="1" applyBorder="1" applyAlignment="1" applyProtection="1">
      <alignment horizontal="left" vertical="top" wrapText="1"/>
      <protection locked="0"/>
    </xf>
    <xf numFmtId="14" fontId="2" fillId="0" borderId="12" xfId="0" applyNumberFormat="1" applyFont="1" applyFill="1" applyBorder="1" applyAlignment="1" applyProtection="1">
      <alignment horizontal="left" vertical="top" wrapText="1"/>
      <protection locked="0"/>
    </xf>
    <xf numFmtId="14" fontId="2" fillId="0" borderId="12" xfId="0" applyNumberFormat="1" applyFont="1" applyFill="1" applyBorder="1" applyAlignment="1" applyProtection="1">
      <alignment horizontal="left" vertical="top" wrapText="1"/>
      <protection locked="0"/>
    </xf>
    <xf numFmtId="178" fontId="2" fillId="0" borderId="12" xfId="0" applyNumberFormat="1" applyFont="1" applyFill="1" applyBorder="1" applyAlignment="1" applyProtection="1">
      <alignment horizontal="left" vertical="top" wrapText="1"/>
      <protection locked="0"/>
    </xf>
    <xf numFmtId="9" fontId="2" fillId="0" borderId="12" xfId="1" applyNumberFormat="1" applyFont="1" applyFill="1" applyBorder="1" applyAlignment="1" applyProtection="1">
      <alignment horizontal="left" vertical="top" wrapText="1"/>
      <protection locked="0"/>
    </xf>
    <xf numFmtId="0" fontId="1" fillId="0" borderId="11" xfId="0" applyFont="1" applyFill="1" applyBorder="1" applyAlignment="1">
      <alignment horizontal="left" vertical="top"/>
    </xf>
    <xf numFmtId="14" fontId="2" fillId="8" borderId="12" xfId="0" applyNumberFormat="1" applyFont="1" applyFill="1" applyBorder="1" applyAlignment="1" applyProtection="1">
      <alignment horizontal="left" vertical="top" wrapText="1"/>
      <protection locked="0"/>
    </xf>
    <xf numFmtId="178" fontId="2" fillId="8" borderId="12" xfId="0" applyNumberFormat="1" applyFont="1" applyFill="1" applyBorder="1" applyAlignment="1" applyProtection="1">
      <alignment horizontal="left" vertical="top" wrapText="1"/>
      <protection locked="0"/>
    </xf>
    <xf numFmtId="9" fontId="2" fillId="8" borderId="12" xfId="1" applyNumberFormat="1" applyFont="1" applyFill="1" applyBorder="1" applyAlignment="1" applyProtection="1">
      <alignment horizontal="left" vertical="top" wrapText="1"/>
      <protection locked="0"/>
    </xf>
    <xf numFmtId="0" fontId="1" fillId="8" borderId="11" xfId="0" applyFont="1" applyFill="1" applyBorder="1" applyAlignment="1">
      <alignment horizontal="left" vertical="top"/>
    </xf>
    <xf numFmtId="0" fontId="1" fillId="0" borderId="28" xfId="0" applyFont="1" applyFill="1" applyBorder="1" applyAlignment="1">
      <alignment horizontal="left" vertical="top"/>
    </xf>
    <xf numFmtId="0" fontId="1" fillId="5" borderId="17" xfId="0" applyFont="1" applyFill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5" borderId="30" xfId="0" applyFont="1" applyFill="1" applyBorder="1" applyAlignment="1">
      <alignment horizontal="left" vertical="top"/>
    </xf>
    <xf numFmtId="0" fontId="1" fillId="0" borderId="18" xfId="0" applyFont="1" applyFill="1" applyBorder="1" applyAlignment="1">
      <alignment horizontal="left" vertical="top"/>
    </xf>
    <xf numFmtId="0" fontId="1" fillId="2" borderId="18" xfId="0" applyFont="1" applyFill="1" applyBorder="1" applyAlignment="1">
      <alignment horizontal="left" vertical="top"/>
    </xf>
    <xf numFmtId="9" fontId="2" fillId="2" borderId="23" xfId="1" applyNumberFormat="1" applyFont="1" applyFill="1" applyBorder="1" applyAlignment="1" applyProtection="1">
      <alignment horizontal="left" vertical="top" wrapText="1"/>
      <protection locked="0"/>
    </xf>
    <xf numFmtId="9" fontId="2" fillId="2" borderId="7" xfId="0" applyNumberFormat="1" applyFont="1" applyFill="1" applyBorder="1" applyAlignment="1" applyProtection="1">
      <alignment horizontal="left" vertical="top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9" fontId="2" fillId="5" borderId="10" xfId="0" applyNumberFormat="1" applyFont="1" applyFill="1" applyBorder="1" applyAlignment="1" applyProtection="1">
      <alignment horizontal="left" vertical="top" wrapText="1"/>
      <protection locked="0"/>
    </xf>
    <xf numFmtId="9" fontId="2" fillId="2" borderId="10" xfId="0" applyNumberFormat="1" applyFont="1" applyFill="1" applyBorder="1" applyAlignment="1" applyProtection="1">
      <alignment horizontal="left" vertical="top" wrapText="1"/>
      <protection locked="0"/>
    </xf>
    <xf numFmtId="14" fontId="2" fillId="2" borderId="23" xfId="0" applyNumberFormat="1" applyFont="1" applyFill="1" applyBorder="1" applyAlignment="1" applyProtection="1">
      <alignment horizontal="left" vertical="top" wrapText="1"/>
      <protection locked="0"/>
    </xf>
    <xf numFmtId="0" fontId="1" fillId="2" borderId="23" xfId="0" applyFont="1" applyFill="1" applyBorder="1" applyAlignment="1">
      <alignment horizontal="left" vertical="top"/>
    </xf>
    <xf numFmtId="14" fontId="2" fillId="9" borderId="11" xfId="0" applyNumberFormat="1" applyFont="1" applyFill="1" applyBorder="1" applyAlignment="1" applyProtection="1">
      <alignment horizontal="left" vertical="top" wrapText="1"/>
      <protection locked="0"/>
    </xf>
    <xf numFmtId="178" fontId="2" fillId="7" borderId="11" xfId="0" applyNumberFormat="1" applyFont="1" applyFill="1" applyBorder="1" applyAlignment="1" applyProtection="1">
      <alignment horizontal="left" vertical="top" wrapText="1"/>
      <protection locked="0"/>
    </xf>
    <xf numFmtId="14" fontId="2" fillId="7" borderId="11" xfId="0" applyNumberFormat="1" applyFont="1" applyFill="1" applyBorder="1" applyAlignment="1" applyProtection="1">
      <alignment horizontal="left" vertical="top" wrapText="1"/>
      <protection locked="0"/>
    </xf>
    <xf numFmtId="178" fontId="2" fillId="7" borderId="10" xfId="0" applyNumberFormat="1" applyFont="1" applyFill="1" applyBorder="1" applyAlignment="1" applyProtection="1">
      <alignment horizontal="left" vertical="top" wrapText="1"/>
      <protection locked="0"/>
    </xf>
    <xf numFmtId="0" fontId="1" fillId="2" borderId="29" xfId="0" applyFont="1" applyFill="1" applyBorder="1" applyAlignment="1">
      <alignment horizontal="left" vertical="top"/>
    </xf>
    <xf numFmtId="9" fontId="2" fillId="2" borderId="14" xfId="0" applyNumberFormat="1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center" wrapText="1"/>
      <protection locked="0"/>
    </xf>
    <xf numFmtId="0" fontId="2" fillId="2" borderId="11" xfId="0" applyFont="1" applyFill="1" applyBorder="1" applyAlignment="1" applyProtection="1">
      <alignment horizontal="left" vertical="center" wrapText="1"/>
      <protection locked="0"/>
    </xf>
    <xf numFmtId="9" fontId="1" fillId="0" borderId="11" xfId="0" applyNumberFormat="1" applyFont="1" applyFill="1" applyBorder="1" applyAlignment="1">
      <alignment horizontal="left" vertical="top"/>
    </xf>
    <xf numFmtId="9" fontId="1" fillId="0" borderId="23" xfId="0" applyNumberFormat="1" applyFont="1" applyFill="1" applyBorder="1" applyAlignment="1">
      <alignment horizontal="left" vertical="top"/>
    </xf>
    <xf numFmtId="0" fontId="3" fillId="2" borderId="10" xfId="0" applyFont="1" applyFill="1" applyBorder="1" applyAlignment="1" applyProtection="1">
      <alignment horizontal="left" vertical="top" wrapText="1"/>
      <protection locked="0"/>
    </xf>
    <xf numFmtId="9" fontId="1" fillId="0" borderId="10" xfId="0" applyNumberFormat="1" applyFont="1" applyFill="1" applyBorder="1" applyAlignment="1">
      <alignment horizontal="left" vertical="top"/>
    </xf>
    <xf numFmtId="0" fontId="3" fillId="2" borderId="11" xfId="0" applyFont="1" applyFill="1" applyBorder="1" applyAlignment="1" applyProtection="1">
      <alignment horizontal="left" vertical="top" wrapText="1"/>
      <protection locked="0"/>
    </xf>
    <xf numFmtId="14" fontId="2" fillId="0" borderId="14" xfId="0" applyNumberFormat="1" applyFont="1" applyFill="1" applyBorder="1" applyAlignment="1" applyProtection="1">
      <alignment horizontal="left" vertical="top" wrapText="1"/>
      <protection locked="0"/>
    </xf>
    <xf numFmtId="178" fontId="2" fillId="2" borderId="14" xfId="0" applyNumberFormat="1" applyFont="1" applyFill="1" applyBorder="1" applyAlignment="1" applyProtection="1">
      <alignment horizontal="left" vertical="top" wrapText="1"/>
      <protection locked="0"/>
    </xf>
    <xf numFmtId="0" fontId="1" fillId="0" borderId="14" xfId="0" applyFont="1" applyBorder="1" applyAlignment="1">
      <alignment horizontal="left" vertical="top"/>
    </xf>
    <xf numFmtId="178" fontId="2" fillId="2" borderId="7" xfId="0" applyNumberFormat="1" applyFont="1" applyFill="1" applyBorder="1" applyAlignment="1" applyProtection="1">
      <alignment horizontal="left" vertical="top" wrapText="1"/>
      <protection locked="0"/>
    </xf>
    <xf numFmtId="0" fontId="1" fillId="0" borderId="7" xfId="0" applyFont="1" applyBorder="1" applyAlignment="1">
      <alignment horizontal="left" vertical="top"/>
    </xf>
    <xf numFmtId="178" fontId="1" fillId="0" borderId="11" xfId="0" applyNumberFormat="1" applyFont="1" applyBorder="1" applyAlignment="1">
      <alignment horizontal="left" vertical="top"/>
    </xf>
    <xf numFmtId="14" fontId="1" fillId="0" borderId="11" xfId="0" applyNumberFormat="1" applyFont="1" applyBorder="1" applyAlignment="1">
      <alignment horizontal="left" vertical="top"/>
    </xf>
    <xf numFmtId="178" fontId="1" fillId="0" borderId="23" xfId="0" applyNumberFormat="1" applyFont="1" applyBorder="1" applyAlignment="1">
      <alignment horizontal="left" vertical="top"/>
    </xf>
    <xf numFmtId="178" fontId="1" fillId="0" borderId="10" xfId="0" applyNumberFormat="1" applyFont="1" applyBorder="1" applyAlignment="1">
      <alignment horizontal="left" vertical="top"/>
    </xf>
    <xf numFmtId="179" fontId="1" fillId="0" borderId="0" xfId="0" applyNumberFormat="1" applyFont="1" applyAlignment="1">
      <alignment horizontal="left"/>
    </xf>
    <xf numFmtId="0" fontId="1" fillId="0" borderId="33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 applyProtection="1">
      <alignment horizontal="left" vertical="center" wrapText="1"/>
      <protection locked="0"/>
    </xf>
    <xf numFmtId="0" fontId="2" fillId="2" borderId="8" xfId="0" applyFont="1" applyFill="1" applyBorder="1" applyAlignment="1" applyProtection="1">
      <alignment horizontal="left" vertical="center" wrapText="1"/>
      <protection locked="0"/>
    </xf>
    <xf numFmtId="0" fontId="2" fillId="2" borderId="20" xfId="0" applyFont="1" applyFill="1" applyBorder="1" applyAlignment="1" applyProtection="1">
      <alignment horizontal="left" vertical="center" wrapText="1"/>
      <protection locked="0"/>
    </xf>
    <xf numFmtId="0" fontId="2" fillId="2" borderId="24" xfId="0" applyFont="1" applyFill="1" applyBorder="1" applyAlignment="1" applyProtection="1">
      <alignment horizontal="left" vertical="center" wrapText="1"/>
      <protection locked="0"/>
    </xf>
    <xf numFmtId="0" fontId="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26" xfId="0" applyFont="1" applyFill="1" applyBorder="1" applyAlignment="1" applyProtection="1">
      <alignment horizontal="left" vertical="center" wrapText="1"/>
      <protection locked="0"/>
    </xf>
    <xf numFmtId="0" fontId="2" fillId="0" borderId="8" xfId="0" applyFont="1" applyFill="1" applyBorder="1" applyAlignment="1" applyProtection="1">
      <alignment horizontal="left" vertical="center" wrapText="1"/>
      <protection locked="0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2" fillId="2" borderId="27" xfId="0" applyFont="1" applyFill="1" applyBorder="1" applyAlignment="1" applyProtection="1">
      <alignment horizontal="left" vertical="center" wrapText="1"/>
      <protection locked="0"/>
    </xf>
    <xf numFmtId="0" fontId="2" fillId="2" borderId="32" xfId="0" applyFont="1" applyFill="1" applyBorder="1" applyAlignment="1" applyProtection="1">
      <alignment horizontal="left" vertical="center" wrapText="1"/>
      <protection locked="0"/>
    </xf>
    <xf numFmtId="0" fontId="3" fillId="2" borderId="31" xfId="0" applyFont="1" applyFill="1" applyBorder="1" applyAlignment="1" applyProtection="1">
      <alignment horizontal="left" vertical="center" wrapText="1"/>
      <protection locked="0"/>
    </xf>
    <xf numFmtId="0" fontId="3" fillId="2" borderId="27" xfId="0" applyFont="1" applyFill="1" applyBorder="1" applyAlignment="1" applyProtection="1">
      <alignment horizontal="left" vertical="center" wrapText="1"/>
      <protection locked="0"/>
    </xf>
    <xf numFmtId="0" fontId="3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4" xfId="0" applyFont="1" applyFill="1" applyBorder="1" applyAlignment="1" applyProtection="1">
      <alignment horizontal="left" vertical="top" wrapText="1"/>
      <protection locked="0"/>
    </xf>
    <xf numFmtId="0" fontId="2" fillId="2" borderId="9" xfId="0" applyFont="1" applyFill="1" applyBorder="1" applyAlignment="1" applyProtection="1">
      <alignment horizontal="left" vertical="top" wrapText="1"/>
      <protection locked="0"/>
    </xf>
    <xf numFmtId="0" fontId="2" fillId="2" borderId="13" xfId="0" applyFont="1" applyFill="1" applyBorder="1" applyAlignment="1" applyProtection="1">
      <alignment horizontal="left" vertical="top" wrapText="1"/>
      <protection locked="0"/>
    </xf>
    <xf numFmtId="0" fontId="2" fillId="2" borderId="15" xfId="0" applyFont="1" applyFill="1" applyBorder="1" applyAlignment="1" applyProtection="1">
      <alignment horizontal="left" vertical="top" wrapText="1"/>
      <protection locked="0"/>
    </xf>
    <xf numFmtId="0" fontId="2" fillId="0" borderId="4" xfId="0" applyFont="1" applyFill="1" applyBorder="1" applyAlignment="1" applyProtection="1">
      <alignment horizontal="left" vertical="top" wrapText="1"/>
      <protection locked="0"/>
    </xf>
    <xf numFmtId="0" fontId="2" fillId="0" borderId="9" xfId="0" applyFont="1" applyFill="1" applyBorder="1" applyAlignment="1" applyProtection="1">
      <alignment horizontal="left" vertical="top" wrapText="1"/>
      <protection locked="0"/>
    </xf>
    <xf numFmtId="0" fontId="2" fillId="0" borderId="21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2" fillId="2" borderId="11" xfId="0" applyFont="1" applyFill="1" applyBorder="1" applyAlignment="1" applyProtection="1">
      <alignment horizontal="left" vertical="top" wrapText="1"/>
      <protection locked="0"/>
    </xf>
    <xf numFmtId="0" fontId="2" fillId="2" borderId="23" xfId="0" applyFont="1" applyFill="1" applyBorder="1" applyAlignment="1" applyProtection="1">
      <alignment horizontal="left" vertical="top" wrapText="1"/>
      <protection locked="0"/>
    </xf>
    <xf numFmtId="0" fontId="2" fillId="0" borderId="27" xfId="0" applyFont="1" applyFill="1" applyBorder="1" applyAlignment="1" applyProtection="1">
      <alignment horizontal="left" vertical="center" wrapText="1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5" borderId="5" xfId="0" applyFont="1" applyFill="1" applyBorder="1" applyAlignment="1" applyProtection="1">
      <alignment horizontal="left" vertical="top" wrapText="1"/>
      <protection locked="0"/>
    </xf>
    <xf numFmtId="0" fontId="2" fillId="5" borderId="10" xfId="0" applyFont="1" applyFill="1" applyBorder="1" applyAlignment="1" applyProtection="1">
      <alignment horizontal="left" vertical="top" wrapText="1"/>
      <protection locked="0"/>
    </xf>
    <xf numFmtId="0" fontId="2" fillId="5" borderId="12" xfId="0" applyFont="1" applyFill="1" applyBorder="1" applyAlignment="1" applyProtection="1">
      <alignment horizontal="left" vertical="top" wrapText="1"/>
      <protection locked="0"/>
    </xf>
    <xf numFmtId="0" fontId="2" fillId="5" borderId="10" xfId="0" applyFont="1" applyFill="1" applyBorder="1" applyAlignment="1" applyProtection="1">
      <alignment horizontal="left" vertical="top"/>
      <protection locked="0"/>
    </xf>
    <xf numFmtId="0" fontId="2" fillId="5" borderId="14" xfId="0" applyFont="1" applyFill="1" applyBorder="1" applyAlignment="1" applyProtection="1">
      <alignment horizontal="left" vertical="top" wrapText="1"/>
      <protection locked="0"/>
    </xf>
    <xf numFmtId="0" fontId="2" fillId="0" borderId="5" xfId="0" applyFont="1" applyFill="1" applyBorder="1" applyAlignment="1" applyProtection="1">
      <alignment horizontal="left" vertical="top" wrapText="1"/>
      <protection locked="0"/>
    </xf>
    <xf numFmtId="0" fontId="2" fillId="0" borderId="14" xfId="0" applyFont="1" applyFill="1" applyBorder="1" applyAlignment="1" applyProtection="1">
      <alignment horizontal="left" vertical="top" wrapText="1"/>
      <protection locked="0"/>
    </xf>
    <xf numFmtId="0" fontId="2" fillId="0" borderId="10" xfId="0" applyFont="1" applyFill="1" applyBorder="1" applyAlignment="1" applyProtection="1">
      <alignment horizontal="left" vertical="top" wrapText="1"/>
      <protection locked="0"/>
    </xf>
    <xf numFmtId="0" fontId="2" fillId="0" borderId="12" xfId="0" applyFont="1" applyFill="1" applyBorder="1" applyAlignment="1" applyProtection="1">
      <alignment horizontal="left" vertical="top" wrapText="1"/>
      <protection locked="0"/>
    </xf>
    <xf numFmtId="0" fontId="2" fillId="0" borderId="22" xfId="0" applyFont="1" applyFill="1" applyBorder="1" applyAlignment="1" applyProtection="1">
      <alignment horizontal="left" vertical="top" wrapText="1"/>
      <protection locked="0"/>
    </xf>
    <xf numFmtId="0" fontId="2" fillId="5" borderId="7" xfId="0" applyFont="1" applyFill="1" applyBorder="1" applyAlignment="1" applyProtection="1">
      <alignment horizontal="left" vertical="top" wrapText="1"/>
      <protection locked="0"/>
    </xf>
    <xf numFmtId="0" fontId="2" fillId="5" borderId="11" xfId="0" applyFont="1" applyFill="1" applyBorder="1" applyAlignment="1" applyProtection="1">
      <alignment horizontal="left" vertical="top" wrapText="1"/>
      <protection locked="0"/>
    </xf>
    <xf numFmtId="0" fontId="2" fillId="2" borderId="5" xfId="0" applyFont="1" applyFill="1" applyBorder="1" applyAlignment="1" applyProtection="1">
      <alignment horizontal="left" vertical="center" wrapText="1"/>
      <protection locked="0"/>
    </xf>
    <xf numFmtId="0" fontId="2" fillId="2" borderId="14" xfId="0" applyFont="1" applyFill="1" applyBorder="1" applyAlignment="1" applyProtection="1">
      <alignment horizontal="left" vertical="center" wrapText="1"/>
      <protection locked="0"/>
    </xf>
    <xf numFmtId="0" fontId="2" fillId="2" borderId="10" xfId="0" applyFont="1" applyFill="1" applyBorder="1" applyAlignment="1" applyProtection="1">
      <alignment horizontal="left" vertical="center" wrapText="1"/>
      <protection locked="0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2" fillId="2" borderId="14" xfId="0" applyFont="1" applyFill="1" applyBorder="1" applyAlignment="1" applyProtection="1">
      <alignment horizontal="left" vertical="top" wrapText="1"/>
      <protection locked="0"/>
    </xf>
    <xf numFmtId="0" fontId="2" fillId="2" borderId="10" xfId="0" applyFont="1" applyFill="1" applyBorder="1" applyAlignment="1" applyProtection="1">
      <alignment horizontal="left" vertical="top" wrapText="1"/>
      <protection locked="0"/>
    </xf>
    <xf numFmtId="0" fontId="2" fillId="0" borderId="12" xfId="0" applyFont="1" applyFill="1" applyBorder="1" applyAlignment="1" applyProtection="1">
      <alignment horizontal="left" vertical="center" wrapText="1"/>
      <protection locked="0"/>
    </xf>
    <xf numFmtId="0" fontId="2" fillId="0" borderId="14" xfId="0" applyFont="1" applyFill="1" applyBorder="1" applyAlignment="1" applyProtection="1">
      <alignment horizontal="left" vertical="center" wrapText="1"/>
      <protection locked="0"/>
    </xf>
    <xf numFmtId="0" fontId="2" fillId="8" borderId="12" xfId="0" applyFont="1" applyFill="1" applyBorder="1" applyAlignment="1" applyProtection="1">
      <alignment horizontal="left" vertical="center" wrapText="1"/>
      <protection locked="0"/>
    </xf>
    <xf numFmtId="0" fontId="2" fillId="8" borderId="14" xfId="0" applyFont="1" applyFill="1" applyBorder="1" applyAlignment="1" applyProtection="1">
      <alignment horizontal="left" vertical="center" wrapText="1"/>
      <protection locked="0"/>
    </xf>
    <xf numFmtId="0" fontId="2" fillId="8" borderId="10" xfId="0" applyFont="1" applyFill="1" applyBorder="1" applyAlignment="1" applyProtection="1">
      <alignment horizontal="left" vertical="center" wrapText="1"/>
      <protection locked="0"/>
    </xf>
    <xf numFmtId="0" fontId="2" fillId="8" borderId="12" xfId="0" applyFont="1" applyFill="1" applyBorder="1" applyAlignment="1" applyProtection="1">
      <alignment horizontal="left" vertical="top" wrapText="1"/>
      <protection locked="0"/>
    </xf>
    <xf numFmtId="0" fontId="2" fillId="8" borderId="14" xfId="0" applyFont="1" applyFill="1" applyBorder="1" applyAlignment="1" applyProtection="1">
      <alignment horizontal="left" vertical="top" wrapText="1"/>
      <protection locked="0"/>
    </xf>
    <xf numFmtId="178" fontId="2" fillId="5" borderId="11" xfId="0" applyNumberFormat="1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left" vertical="center" wrapText="1"/>
      <protection locked="0"/>
    </xf>
    <xf numFmtId="0" fontId="2" fillId="0" borderId="10" xfId="0" applyFont="1" applyFill="1" applyBorder="1" applyAlignment="1" applyProtection="1">
      <alignment horizontal="left" vertical="center" wrapText="1"/>
      <protection locked="0"/>
    </xf>
    <xf numFmtId="0" fontId="1" fillId="5" borderId="12" xfId="0" applyFont="1" applyFill="1" applyBorder="1" applyAlignment="1">
      <alignment horizontal="left" vertical="top"/>
    </xf>
    <xf numFmtId="0" fontId="1" fillId="5" borderId="10" xfId="0" applyFont="1" applyFill="1" applyBorder="1" applyAlignment="1">
      <alignment horizontal="left" vertical="top"/>
    </xf>
    <xf numFmtId="0" fontId="1" fillId="5" borderId="18" xfId="0" applyFont="1" applyFill="1" applyBorder="1" applyAlignment="1">
      <alignment horizontal="left" vertical="top" wrapText="1"/>
    </xf>
  </cellXfs>
  <cellStyles count="10">
    <cellStyle name="百分比" xfId="1" builtinId="5"/>
    <cellStyle name="百分比 2" xfId="2"/>
    <cellStyle name="常规" xfId="0" builtinId="0"/>
    <cellStyle name="常规 2" xfId="7"/>
    <cellStyle name="常规 2 2" xfId="6"/>
    <cellStyle name="常规 3" xfId="8"/>
    <cellStyle name="常规 3 2" xfId="4"/>
    <cellStyle name="常规 3 2 2" xfId="3"/>
    <cellStyle name="常规 3 3" xfId="5"/>
    <cellStyle name="常规 4" xfId="9"/>
  </cellStyles>
  <dxfs count="1">
    <dxf>
      <fill>
        <patternFill patternType="solid">
          <bgColor indexed="10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224"/>
  <sheetViews>
    <sheetView showGridLines="0" tabSelected="1" topLeftCell="A8" workbookViewId="0">
      <pane ySplit="3" topLeftCell="A11" activePane="bottomLeft" state="frozen"/>
      <selection pane="bottomLeft" activeCell="A11" sqref="A11"/>
    </sheetView>
  </sheetViews>
  <sheetFormatPr defaultColWidth="9" defaultRowHeight="13.5" outlineLevelCol="1" x14ac:dyDescent="0.15"/>
  <cols>
    <col min="1" max="1" width="3" style="9" customWidth="1"/>
    <col min="2" max="2" width="10.75" style="9" customWidth="1"/>
    <col min="3" max="3" width="15.125" style="9" customWidth="1"/>
    <col min="4" max="4" width="16.25" style="10" customWidth="1"/>
    <col min="5" max="5" width="52.75" style="9" customWidth="1"/>
    <col min="6" max="6" width="8.875" style="11" customWidth="1"/>
    <col min="7" max="8" width="6.25" style="11" customWidth="1"/>
    <col min="9" max="9" width="14.25" style="12" customWidth="1"/>
    <col min="10" max="10" width="12.75" style="12" customWidth="1"/>
    <col min="11" max="11" width="9.75" style="13" customWidth="1"/>
    <col min="12" max="12" width="9.25" style="13" customWidth="1" outlineLevel="1"/>
    <col min="13" max="13" width="11" style="13" customWidth="1" outlineLevel="1"/>
    <col min="14" max="14" width="9" style="13" customWidth="1" outlineLevel="1"/>
    <col min="15" max="15" width="18.875" style="13" customWidth="1"/>
    <col min="16" max="16" width="9" style="9"/>
    <col min="17" max="17" width="81.125" style="9" customWidth="1"/>
    <col min="18" max="16384" width="9" style="9"/>
  </cols>
  <sheetData>
    <row r="1" spans="2:19" ht="16.5" hidden="1" x14ac:dyDescent="0.3">
      <c r="S1" s="9" t="s">
        <v>0</v>
      </c>
    </row>
    <row r="2" spans="2:19" hidden="1" x14ac:dyDescent="0.15">
      <c r="S2" s="9" t="s">
        <v>1</v>
      </c>
    </row>
    <row r="3" spans="2:19" hidden="1" x14ac:dyDescent="0.15">
      <c r="S3" s="9" t="s">
        <v>2</v>
      </c>
    </row>
    <row r="4" spans="2:19" ht="16.5" hidden="1" x14ac:dyDescent="0.3">
      <c r="S4" s="9" t="s">
        <v>3</v>
      </c>
    </row>
    <row r="5" spans="2:19" hidden="1" x14ac:dyDescent="0.15">
      <c r="S5" s="9" t="s">
        <v>4</v>
      </c>
    </row>
    <row r="6" spans="2:19" hidden="1" x14ac:dyDescent="0.15">
      <c r="S6" s="9" t="s">
        <v>5</v>
      </c>
    </row>
    <row r="7" spans="2:19" hidden="1" x14ac:dyDescent="0.15">
      <c r="S7" s="9" t="s">
        <v>6</v>
      </c>
    </row>
    <row r="10" spans="2:19" x14ac:dyDescent="0.15">
      <c r="B10" s="152" t="s">
        <v>7</v>
      </c>
      <c r="C10" s="153"/>
      <c r="D10" s="153"/>
      <c r="E10" s="154"/>
      <c r="F10" s="14" t="s">
        <v>8</v>
      </c>
      <c r="G10" s="15" t="s">
        <v>9</v>
      </c>
      <c r="H10" s="15" t="s">
        <v>10</v>
      </c>
      <c r="I10" s="15" t="s">
        <v>11</v>
      </c>
      <c r="J10" s="32" t="s">
        <v>12</v>
      </c>
      <c r="K10" s="33" t="s">
        <v>13</v>
      </c>
      <c r="L10" s="34" t="s">
        <v>14</v>
      </c>
      <c r="M10" s="34" t="s">
        <v>15</v>
      </c>
      <c r="N10" s="34" t="s">
        <v>16</v>
      </c>
      <c r="O10" s="33" t="s">
        <v>17</v>
      </c>
      <c r="P10" s="35" t="s">
        <v>18</v>
      </c>
      <c r="Q10" s="58"/>
      <c r="S10" s="9" t="s">
        <v>1</v>
      </c>
    </row>
    <row r="11" spans="2:19" ht="27" x14ac:dyDescent="0.15">
      <c r="B11" s="155" t="s">
        <v>19</v>
      </c>
      <c r="C11" s="168" t="s">
        <v>300</v>
      </c>
      <c r="D11" s="181" t="s">
        <v>20</v>
      </c>
      <c r="E11" s="16" t="s">
        <v>21</v>
      </c>
      <c r="F11" s="16" t="s">
        <v>22</v>
      </c>
      <c r="G11" s="17">
        <v>1</v>
      </c>
      <c r="H11" s="17" t="s">
        <v>23</v>
      </c>
      <c r="I11" s="16">
        <v>27476</v>
      </c>
      <c r="J11" s="36">
        <v>44301</v>
      </c>
      <c r="K11" s="37">
        <v>96</v>
      </c>
      <c r="L11" s="17">
        <v>1</v>
      </c>
      <c r="M11" s="17">
        <v>0</v>
      </c>
      <c r="N11" s="17">
        <v>0</v>
      </c>
      <c r="O11" s="16" t="s">
        <v>24</v>
      </c>
      <c r="P11" s="38"/>
      <c r="Q11" s="59" t="s">
        <v>25</v>
      </c>
      <c r="S11" s="9" t="s">
        <v>26</v>
      </c>
    </row>
    <row r="12" spans="2:19" x14ac:dyDescent="0.15">
      <c r="B12" s="156"/>
      <c r="C12" s="169"/>
      <c r="D12" s="182"/>
      <c r="E12" s="19" t="s">
        <v>27</v>
      </c>
      <c r="F12" s="19" t="s">
        <v>22</v>
      </c>
      <c r="G12" s="20">
        <v>1</v>
      </c>
      <c r="H12" s="20" t="s">
        <v>23</v>
      </c>
      <c r="I12" s="19">
        <v>27607</v>
      </c>
      <c r="J12" s="39">
        <v>44306</v>
      </c>
      <c r="K12" s="40">
        <v>8</v>
      </c>
      <c r="L12" s="20">
        <v>1</v>
      </c>
      <c r="M12" s="20">
        <v>0</v>
      </c>
      <c r="N12" s="20">
        <v>0</v>
      </c>
      <c r="O12" s="19" t="s">
        <v>24</v>
      </c>
      <c r="P12" s="41"/>
      <c r="Q12" s="60"/>
      <c r="S12" s="9" t="s">
        <v>28</v>
      </c>
    </row>
    <row r="13" spans="2:19" x14ac:dyDescent="0.15">
      <c r="B13" s="156"/>
      <c r="C13" s="169"/>
      <c r="D13" s="183" t="s">
        <v>29</v>
      </c>
      <c r="E13" s="19" t="s">
        <v>21</v>
      </c>
      <c r="F13" s="19"/>
      <c r="G13" s="20"/>
      <c r="H13" s="19"/>
      <c r="I13" s="19"/>
      <c r="J13" s="19"/>
      <c r="K13" s="40"/>
      <c r="L13" s="20"/>
      <c r="M13" s="20"/>
      <c r="N13" s="20"/>
      <c r="O13" s="19" t="s">
        <v>30</v>
      </c>
      <c r="P13" s="42" t="s">
        <v>31</v>
      </c>
      <c r="Q13" s="60"/>
      <c r="S13" s="9" t="s">
        <v>32</v>
      </c>
    </row>
    <row r="14" spans="2:19" x14ac:dyDescent="0.15">
      <c r="B14" s="156"/>
      <c r="C14" s="169"/>
      <c r="D14" s="182"/>
      <c r="E14" s="19" t="s">
        <v>33</v>
      </c>
      <c r="F14" s="19" t="s">
        <v>34</v>
      </c>
      <c r="G14" s="20">
        <v>1</v>
      </c>
      <c r="H14" s="20" t="s">
        <v>23</v>
      </c>
      <c r="I14" s="19">
        <v>27608</v>
      </c>
      <c r="J14" s="39">
        <v>44306</v>
      </c>
      <c r="K14" s="40">
        <v>8</v>
      </c>
      <c r="L14" s="20">
        <v>1</v>
      </c>
      <c r="M14" s="20">
        <v>0</v>
      </c>
      <c r="N14" s="20">
        <v>0</v>
      </c>
      <c r="O14" s="19" t="s">
        <v>24</v>
      </c>
      <c r="P14" s="43"/>
      <c r="Q14" s="60"/>
      <c r="S14" s="9" t="s">
        <v>35</v>
      </c>
    </row>
    <row r="15" spans="2:19" x14ac:dyDescent="0.15">
      <c r="B15" s="156"/>
      <c r="C15" s="169"/>
      <c r="D15" s="183" t="s">
        <v>36</v>
      </c>
      <c r="E15" s="19" t="s">
        <v>21</v>
      </c>
      <c r="F15" s="19" t="s">
        <v>22</v>
      </c>
      <c r="G15" s="20">
        <v>1</v>
      </c>
      <c r="H15" s="20" t="s">
        <v>23</v>
      </c>
      <c r="I15" s="19">
        <v>27478</v>
      </c>
      <c r="J15" s="39">
        <v>44308</v>
      </c>
      <c r="K15" s="40">
        <v>96</v>
      </c>
      <c r="L15" s="20">
        <v>1</v>
      </c>
      <c r="M15" s="20">
        <v>0</v>
      </c>
      <c r="N15" s="20">
        <v>0</v>
      </c>
      <c r="O15" s="44" t="s">
        <v>24</v>
      </c>
      <c r="P15" s="209"/>
      <c r="Q15" s="60"/>
      <c r="S15" s="9" t="s">
        <v>37</v>
      </c>
    </row>
    <row r="16" spans="2:19" x14ac:dyDescent="0.15">
      <c r="B16" s="156"/>
      <c r="C16" s="169"/>
      <c r="D16" s="184"/>
      <c r="E16" s="19" t="s">
        <v>33</v>
      </c>
      <c r="F16" s="19" t="s">
        <v>34</v>
      </c>
      <c r="G16" s="20">
        <v>1</v>
      </c>
      <c r="H16" s="20" t="s">
        <v>23</v>
      </c>
      <c r="I16" s="19">
        <v>27609</v>
      </c>
      <c r="J16" s="39">
        <v>44308</v>
      </c>
      <c r="K16" s="40">
        <v>8</v>
      </c>
      <c r="L16" s="20">
        <v>1</v>
      </c>
      <c r="M16" s="20">
        <v>0</v>
      </c>
      <c r="N16" s="20">
        <v>0</v>
      </c>
      <c r="O16" s="44" t="s">
        <v>24</v>
      </c>
      <c r="P16" s="210"/>
      <c r="Q16" s="60"/>
      <c r="S16" s="9" t="s">
        <v>38</v>
      </c>
    </row>
    <row r="17" spans="2:19" ht="27" x14ac:dyDescent="0.15">
      <c r="B17" s="156"/>
      <c r="C17" s="169"/>
      <c r="D17" s="183" t="s">
        <v>39</v>
      </c>
      <c r="E17" s="19" t="s">
        <v>21</v>
      </c>
      <c r="F17" s="19" t="s">
        <v>22</v>
      </c>
      <c r="G17" s="20">
        <v>1</v>
      </c>
      <c r="H17" s="20" t="s">
        <v>23</v>
      </c>
      <c r="I17" s="19">
        <v>27475</v>
      </c>
      <c r="J17" s="39">
        <v>44308</v>
      </c>
      <c r="K17" s="40">
        <v>96</v>
      </c>
      <c r="L17" s="20">
        <v>1</v>
      </c>
      <c r="M17" s="20">
        <v>0</v>
      </c>
      <c r="N17" s="20">
        <v>0</v>
      </c>
      <c r="O17" s="19" t="s">
        <v>24</v>
      </c>
      <c r="P17" s="41"/>
      <c r="Q17" s="61" t="s">
        <v>25</v>
      </c>
      <c r="S17" s="9" t="s">
        <v>2</v>
      </c>
    </row>
    <row r="18" spans="2:19" x14ac:dyDescent="0.15">
      <c r="B18" s="156"/>
      <c r="C18" s="169"/>
      <c r="D18" s="182"/>
      <c r="E18" s="19" t="s">
        <v>27</v>
      </c>
      <c r="F18" s="19" t="s">
        <v>22</v>
      </c>
      <c r="G18" s="20">
        <v>1</v>
      </c>
      <c r="H18" s="20" t="s">
        <v>23</v>
      </c>
      <c r="I18" s="19">
        <v>27610</v>
      </c>
      <c r="J18" s="39">
        <v>44306</v>
      </c>
      <c r="K18" s="40">
        <v>8</v>
      </c>
      <c r="L18" s="20">
        <v>1</v>
      </c>
      <c r="M18" s="20">
        <v>0</v>
      </c>
      <c r="N18" s="20">
        <v>0</v>
      </c>
      <c r="O18" s="19" t="s">
        <v>24</v>
      </c>
      <c r="P18" s="41"/>
      <c r="Q18" s="60"/>
      <c r="S18" s="9" t="s">
        <v>5</v>
      </c>
    </row>
    <row r="19" spans="2:19" ht="27" x14ac:dyDescent="0.15">
      <c r="B19" s="156"/>
      <c r="C19" s="169"/>
      <c r="D19" s="183" t="s">
        <v>40</v>
      </c>
      <c r="E19" s="19" t="s">
        <v>21</v>
      </c>
      <c r="F19" s="19" t="s">
        <v>22</v>
      </c>
      <c r="G19" s="20">
        <v>1</v>
      </c>
      <c r="H19" s="20" t="s">
        <v>23</v>
      </c>
      <c r="I19" s="19">
        <v>27474</v>
      </c>
      <c r="J19" s="39">
        <v>44299</v>
      </c>
      <c r="K19" s="40">
        <v>96</v>
      </c>
      <c r="L19" s="20">
        <v>1</v>
      </c>
      <c r="M19" s="20">
        <v>0</v>
      </c>
      <c r="N19" s="20">
        <v>0</v>
      </c>
      <c r="O19" s="19" t="s">
        <v>24</v>
      </c>
      <c r="P19" s="41"/>
      <c r="Q19" s="61" t="s">
        <v>25</v>
      </c>
      <c r="S19" s="9" t="s">
        <v>41</v>
      </c>
    </row>
    <row r="20" spans="2:19" x14ac:dyDescent="0.15">
      <c r="B20" s="156"/>
      <c r="C20" s="169"/>
      <c r="D20" s="182"/>
      <c r="E20" s="19" t="s">
        <v>27</v>
      </c>
      <c r="F20" s="19" t="s">
        <v>22</v>
      </c>
      <c r="G20" s="20">
        <v>1</v>
      </c>
      <c r="H20" s="20" t="s">
        <v>23</v>
      </c>
      <c r="I20" s="19">
        <v>27611</v>
      </c>
      <c r="J20" s="39">
        <v>44306</v>
      </c>
      <c r="K20" s="40">
        <v>8</v>
      </c>
      <c r="L20" s="20">
        <v>1</v>
      </c>
      <c r="M20" s="20">
        <v>0</v>
      </c>
      <c r="N20" s="20">
        <v>0</v>
      </c>
      <c r="O20" s="19" t="s">
        <v>24</v>
      </c>
      <c r="P20" s="41"/>
      <c r="Q20" s="60"/>
      <c r="S20" s="9" t="s">
        <v>42</v>
      </c>
    </row>
    <row r="21" spans="2:19" x14ac:dyDescent="0.15">
      <c r="B21" s="156"/>
      <c r="C21" s="169"/>
      <c r="D21" s="19" t="s">
        <v>43</v>
      </c>
      <c r="E21" s="19"/>
      <c r="F21" s="19" t="s">
        <v>44</v>
      </c>
      <c r="G21" s="20">
        <v>1</v>
      </c>
      <c r="H21" s="20" t="s">
        <v>23</v>
      </c>
      <c r="I21" s="19">
        <v>27618</v>
      </c>
      <c r="J21" s="39">
        <v>44316</v>
      </c>
      <c r="K21" s="40">
        <f>SUM(K11:K20)*0.15</f>
        <v>63.599999999999994</v>
      </c>
      <c r="L21" s="20">
        <v>1</v>
      </c>
      <c r="M21" s="20">
        <v>0</v>
      </c>
      <c r="N21" s="20">
        <v>0</v>
      </c>
      <c r="O21" s="19"/>
      <c r="P21" s="41"/>
      <c r="Q21" s="60"/>
      <c r="S21" s="9" t="s">
        <v>45</v>
      </c>
    </row>
    <row r="22" spans="2:19" x14ac:dyDescent="0.15">
      <c r="B22" s="156"/>
      <c r="C22" s="169"/>
      <c r="D22" s="19" t="s">
        <v>46</v>
      </c>
      <c r="E22" s="19"/>
      <c r="F22" s="19" t="s">
        <v>44</v>
      </c>
      <c r="G22" s="20">
        <v>1</v>
      </c>
      <c r="H22" s="20" t="s">
        <v>23</v>
      </c>
      <c r="I22" s="19">
        <v>27619</v>
      </c>
      <c r="J22" s="39">
        <v>44309</v>
      </c>
      <c r="K22" s="40">
        <f>SUM(K11:K20)*0.15</f>
        <v>63.599999999999994</v>
      </c>
      <c r="L22" s="20">
        <v>1</v>
      </c>
      <c r="M22" s="20">
        <v>0</v>
      </c>
      <c r="N22" s="20">
        <v>0</v>
      </c>
      <c r="O22" s="19"/>
      <c r="P22" s="41"/>
      <c r="Q22" s="60"/>
      <c r="S22" s="9" t="s">
        <v>47</v>
      </c>
    </row>
    <row r="23" spans="2:19" ht="24" x14ac:dyDescent="0.15">
      <c r="B23" s="156"/>
      <c r="C23" s="170" t="s">
        <v>301</v>
      </c>
      <c r="D23" s="183" t="s">
        <v>48</v>
      </c>
      <c r="E23" s="19" t="s">
        <v>49</v>
      </c>
      <c r="F23" s="19" t="s">
        <v>50</v>
      </c>
      <c r="G23" s="20">
        <v>1</v>
      </c>
      <c r="H23" s="20" t="s">
        <v>23</v>
      </c>
      <c r="I23" s="19">
        <v>27480</v>
      </c>
      <c r="J23" s="39">
        <v>44307</v>
      </c>
      <c r="K23" s="40">
        <v>32</v>
      </c>
      <c r="L23" s="20">
        <v>1</v>
      </c>
      <c r="M23" s="20">
        <v>0</v>
      </c>
      <c r="N23" s="20">
        <v>0</v>
      </c>
      <c r="O23" s="19" t="s">
        <v>51</v>
      </c>
      <c r="P23" s="41"/>
      <c r="Q23" s="60"/>
    </row>
    <row r="24" spans="2:19" ht="24" x14ac:dyDescent="0.15">
      <c r="B24" s="156"/>
      <c r="C24" s="169"/>
      <c r="D24" s="185"/>
      <c r="E24" s="19" t="s">
        <v>52</v>
      </c>
      <c r="F24" s="19" t="s">
        <v>53</v>
      </c>
      <c r="G24" s="20">
        <v>1</v>
      </c>
      <c r="H24" s="20" t="s">
        <v>23</v>
      </c>
      <c r="I24" s="19">
        <v>27482</v>
      </c>
      <c r="J24" s="39">
        <v>44307</v>
      </c>
      <c r="K24" s="40">
        <v>16</v>
      </c>
      <c r="L24" s="20">
        <v>1</v>
      </c>
      <c r="M24" s="20">
        <v>0</v>
      </c>
      <c r="N24" s="20">
        <v>0</v>
      </c>
      <c r="O24" s="19" t="s">
        <v>51</v>
      </c>
      <c r="P24" s="41"/>
      <c r="Q24" s="60"/>
    </row>
    <row r="25" spans="2:19" ht="24" x14ac:dyDescent="0.15">
      <c r="B25" s="156"/>
      <c r="C25" s="169"/>
      <c r="D25" s="185"/>
      <c r="E25" s="19" t="s">
        <v>54</v>
      </c>
      <c r="F25" s="19" t="s">
        <v>53</v>
      </c>
      <c r="G25" s="20">
        <v>1</v>
      </c>
      <c r="H25" s="20" t="s">
        <v>23</v>
      </c>
      <c r="I25" s="19">
        <v>27482</v>
      </c>
      <c r="J25" s="39">
        <v>44307</v>
      </c>
      <c r="K25" s="40">
        <v>16</v>
      </c>
      <c r="L25" s="20">
        <v>1</v>
      </c>
      <c r="M25" s="20">
        <v>0</v>
      </c>
      <c r="N25" s="20">
        <v>0</v>
      </c>
      <c r="O25" s="19" t="s">
        <v>51</v>
      </c>
      <c r="P25" s="41"/>
      <c r="Q25" s="60"/>
    </row>
    <row r="26" spans="2:19" ht="24" x14ac:dyDescent="0.15">
      <c r="B26" s="156"/>
      <c r="C26" s="169"/>
      <c r="D26" s="185"/>
      <c r="E26" s="19" t="s">
        <v>55</v>
      </c>
      <c r="F26" s="19" t="s">
        <v>53</v>
      </c>
      <c r="G26" s="20">
        <v>1</v>
      </c>
      <c r="H26" s="20" t="s">
        <v>23</v>
      </c>
      <c r="I26" s="19">
        <v>27482</v>
      </c>
      <c r="J26" s="39">
        <v>44307</v>
      </c>
      <c r="K26" s="40">
        <v>32</v>
      </c>
      <c r="L26" s="20">
        <v>1</v>
      </c>
      <c r="M26" s="20">
        <v>0</v>
      </c>
      <c r="N26" s="20">
        <v>0</v>
      </c>
      <c r="O26" s="19" t="s">
        <v>51</v>
      </c>
      <c r="P26" s="41"/>
      <c r="Q26" s="60"/>
    </row>
    <row r="27" spans="2:19" ht="24" x14ac:dyDescent="0.15">
      <c r="B27" s="156"/>
      <c r="C27" s="169"/>
      <c r="D27" s="182"/>
      <c r="E27" s="19" t="s">
        <v>56</v>
      </c>
      <c r="F27" s="19" t="s">
        <v>53</v>
      </c>
      <c r="G27" s="20">
        <v>1</v>
      </c>
      <c r="H27" s="20" t="s">
        <v>23</v>
      </c>
      <c r="I27" s="19">
        <v>27481</v>
      </c>
      <c r="J27" s="39">
        <v>44307</v>
      </c>
      <c r="K27" s="40">
        <v>32</v>
      </c>
      <c r="L27" s="20">
        <v>1</v>
      </c>
      <c r="M27" s="20">
        <v>0</v>
      </c>
      <c r="N27" s="20">
        <v>0</v>
      </c>
      <c r="O27" s="19" t="s">
        <v>51</v>
      </c>
      <c r="P27" s="41"/>
      <c r="Q27" s="60"/>
    </row>
    <row r="28" spans="2:19" ht="24" x14ac:dyDescent="0.15">
      <c r="B28" s="156"/>
      <c r="C28" s="169"/>
      <c r="D28" s="19" t="s">
        <v>43</v>
      </c>
      <c r="E28" s="19"/>
      <c r="F28" s="19" t="s">
        <v>44</v>
      </c>
      <c r="G28" s="20">
        <v>1</v>
      </c>
      <c r="H28" s="20" t="s">
        <v>23</v>
      </c>
      <c r="I28" s="19">
        <v>27621</v>
      </c>
      <c r="J28" s="39">
        <v>44316</v>
      </c>
      <c r="K28" s="40">
        <f>SUM(K23:K27)*0.15</f>
        <v>19.2</v>
      </c>
      <c r="L28" s="20">
        <v>1</v>
      </c>
      <c r="M28" s="20">
        <v>0</v>
      </c>
      <c r="N28" s="20">
        <v>0</v>
      </c>
      <c r="O28" s="19" t="s">
        <v>51</v>
      </c>
      <c r="P28" s="41"/>
      <c r="Q28" s="60"/>
    </row>
    <row r="29" spans="2:19" x14ac:dyDescent="0.15">
      <c r="B29" s="156"/>
      <c r="C29" s="171"/>
      <c r="D29" s="22" t="s">
        <v>46</v>
      </c>
      <c r="E29" s="22"/>
      <c r="F29" s="22" t="s">
        <v>44</v>
      </c>
      <c r="G29" s="23">
        <v>0</v>
      </c>
      <c r="H29" s="23" t="s">
        <v>23</v>
      </c>
      <c r="I29" s="22">
        <v>27620</v>
      </c>
      <c r="J29" s="47">
        <v>44309</v>
      </c>
      <c r="K29" s="48">
        <f>SUM(K23:K27)*0.15</f>
        <v>19.2</v>
      </c>
      <c r="L29" s="23">
        <v>1</v>
      </c>
      <c r="M29" s="23">
        <v>0</v>
      </c>
      <c r="N29" s="23">
        <v>0</v>
      </c>
      <c r="O29" s="22" t="s">
        <v>57</v>
      </c>
      <c r="P29" s="49"/>
      <c r="Q29" s="62"/>
    </row>
    <row r="30" spans="2:19" ht="27" customHeight="1" x14ac:dyDescent="0.15">
      <c r="B30" s="156"/>
      <c r="C30" s="170" t="s">
        <v>302</v>
      </c>
      <c r="D30" s="21" t="s">
        <v>58</v>
      </c>
      <c r="E30" s="19" t="s">
        <v>59</v>
      </c>
      <c r="F30" s="19" t="s">
        <v>22</v>
      </c>
      <c r="G30" s="20">
        <v>1</v>
      </c>
      <c r="H30" s="20" t="s">
        <v>23</v>
      </c>
      <c r="I30" s="19">
        <v>27589</v>
      </c>
      <c r="J30" s="39">
        <v>44293</v>
      </c>
      <c r="K30" s="40">
        <v>48</v>
      </c>
      <c r="L30" s="20">
        <v>1</v>
      </c>
      <c r="M30" s="20">
        <v>0</v>
      </c>
      <c r="N30" s="20">
        <v>0</v>
      </c>
      <c r="O30" s="19" t="s">
        <v>51</v>
      </c>
      <c r="P30" s="41"/>
      <c r="Q30" s="61" t="s">
        <v>60</v>
      </c>
    </row>
    <row r="31" spans="2:19" ht="24" x14ac:dyDescent="0.15">
      <c r="B31" s="156"/>
      <c r="C31" s="169"/>
      <c r="D31" s="19" t="s">
        <v>43</v>
      </c>
      <c r="E31" s="19"/>
      <c r="F31" s="19" t="s">
        <v>44</v>
      </c>
      <c r="G31" s="20">
        <v>1</v>
      </c>
      <c r="H31" s="20" t="s">
        <v>23</v>
      </c>
      <c r="I31" s="19">
        <v>27663</v>
      </c>
      <c r="J31" s="39">
        <v>44294</v>
      </c>
      <c r="K31" s="40">
        <f>K30*0.15</f>
        <v>7.1999999999999993</v>
      </c>
      <c r="L31" s="20">
        <v>1</v>
      </c>
      <c r="M31" s="20">
        <v>0</v>
      </c>
      <c r="N31" s="20">
        <v>0</v>
      </c>
      <c r="O31" s="19" t="s">
        <v>61</v>
      </c>
      <c r="P31" s="41"/>
      <c r="Q31" s="60"/>
    </row>
    <row r="32" spans="2:19" ht="24" x14ac:dyDescent="0.15">
      <c r="B32" s="156"/>
      <c r="C32" s="171"/>
      <c r="D32" s="22" t="s">
        <v>46</v>
      </c>
      <c r="E32" s="22"/>
      <c r="F32" s="22" t="s">
        <v>44</v>
      </c>
      <c r="G32" s="23">
        <v>0</v>
      </c>
      <c r="H32" s="23" t="s">
        <v>23</v>
      </c>
      <c r="I32" s="22">
        <v>27665</v>
      </c>
      <c r="J32" s="47">
        <v>44325</v>
      </c>
      <c r="K32" s="48">
        <f>K30*0.15</f>
        <v>7.1999999999999993</v>
      </c>
      <c r="L32" s="23">
        <v>0</v>
      </c>
      <c r="M32" s="23">
        <v>1</v>
      </c>
      <c r="N32" s="23">
        <v>0</v>
      </c>
      <c r="O32" s="22" t="s">
        <v>51</v>
      </c>
      <c r="P32" s="49"/>
      <c r="Q32" s="62"/>
    </row>
    <row r="33" spans="2:17" x14ac:dyDescent="0.15">
      <c r="B33" s="156"/>
      <c r="C33" s="170" t="s">
        <v>305</v>
      </c>
      <c r="D33" s="183" t="s">
        <v>306</v>
      </c>
      <c r="E33" s="19" t="s">
        <v>63</v>
      </c>
      <c r="F33" s="19" t="s">
        <v>34</v>
      </c>
      <c r="G33" s="20">
        <v>1</v>
      </c>
      <c r="H33" s="20" t="s">
        <v>23</v>
      </c>
      <c r="I33" s="19">
        <v>27737</v>
      </c>
      <c r="J33" s="39">
        <v>44301</v>
      </c>
      <c r="K33" s="40">
        <v>64</v>
      </c>
      <c r="L33" s="20">
        <v>1</v>
      </c>
      <c r="M33" s="20">
        <v>0</v>
      </c>
      <c r="N33" s="20">
        <v>0</v>
      </c>
      <c r="O33" s="21" t="s">
        <v>24</v>
      </c>
      <c r="P33" s="41"/>
      <c r="Q33" s="61" t="s">
        <v>64</v>
      </c>
    </row>
    <row r="34" spans="2:17" ht="24" x14ac:dyDescent="0.15">
      <c r="B34" s="156"/>
      <c r="C34" s="169"/>
      <c r="D34" s="185"/>
      <c r="E34" s="19" t="s">
        <v>65</v>
      </c>
      <c r="F34" s="19" t="s">
        <v>34</v>
      </c>
      <c r="G34" s="20">
        <v>1</v>
      </c>
      <c r="H34" s="20" t="s">
        <v>23</v>
      </c>
      <c r="I34" s="19">
        <v>27738</v>
      </c>
      <c r="J34" s="39">
        <v>44308</v>
      </c>
      <c r="K34" s="40">
        <v>96</v>
      </c>
      <c r="L34" s="20">
        <v>1</v>
      </c>
      <c r="M34" s="20">
        <v>0</v>
      </c>
      <c r="N34" s="20">
        <v>0</v>
      </c>
      <c r="O34" s="21" t="s">
        <v>66</v>
      </c>
      <c r="P34" s="41"/>
      <c r="Q34" s="60"/>
    </row>
    <row r="35" spans="2:17" ht="24" x14ac:dyDescent="0.15">
      <c r="B35" s="156"/>
      <c r="C35" s="169"/>
      <c r="D35" s="185"/>
      <c r="E35" s="19" t="s">
        <v>27</v>
      </c>
      <c r="F35" s="19" t="s">
        <v>34</v>
      </c>
      <c r="G35" s="20">
        <v>1</v>
      </c>
      <c r="H35" s="20" t="s">
        <v>23</v>
      </c>
      <c r="I35" s="19">
        <v>27770</v>
      </c>
      <c r="J35" s="39">
        <v>44308</v>
      </c>
      <c r="K35" s="40">
        <v>8</v>
      </c>
      <c r="L35" s="20">
        <v>1</v>
      </c>
      <c r="M35" s="20">
        <v>0</v>
      </c>
      <c r="N35" s="20">
        <v>0</v>
      </c>
      <c r="O35" s="21" t="s">
        <v>66</v>
      </c>
      <c r="P35" s="41"/>
      <c r="Q35" s="60"/>
    </row>
    <row r="36" spans="2:17" x14ac:dyDescent="0.15">
      <c r="B36" s="156"/>
      <c r="C36" s="169"/>
      <c r="D36" s="185"/>
      <c r="E36" s="19" t="s">
        <v>67</v>
      </c>
      <c r="F36" s="19" t="s">
        <v>68</v>
      </c>
      <c r="G36" s="20">
        <v>1</v>
      </c>
      <c r="H36" s="20" t="s">
        <v>23</v>
      </c>
      <c r="I36" s="19">
        <v>27739</v>
      </c>
      <c r="J36" s="39">
        <v>44316</v>
      </c>
      <c r="K36" s="40">
        <v>80</v>
      </c>
      <c r="L36" s="20">
        <v>1</v>
      </c>
      <c r="M36" s="20">
        <v>0</v>
      </c>
      <c r="N36" s="20">
        <v>0</v>
      </c>
      <c r="O36" s="21" t="s">
        <v>24</v>
      </c>
      <c r="P36" s="41"/>
      <c r="Q36" s="60"/>
    </row>
    <row r="37" spans="2:17" x14ac:dyDescent="0.15">
      <c r="B37" s="156"/>
      <c r="C37" s="169"/>
      <c r="D37" s="185"/>
      <c r="E37" s="19" t="s">
        <v>69</v>
      </c>
      <c r="F37" s="19" t="s">
        <v>68</v>
      </c>
      <c r="G37" s="20">
        <v>1</v>
      </c>
      <c r="H37" s="20" t="s">
        <v>23</v>
      </c>
      <c r="I37" s="19">
        <v>27740</v>
      </c>
      <c r="J37" s="39">
        <v>44325</v>
      </c>
      <c r="K37" s="40">
        <v>80</v>
      </c>
      <c r="L37" s="20">
        <v>0</v>
      </c>
      <c r="M37" s="20">
        <v>1</v>
      </c>
      <c r="N37" s="20">
        <v>0</v>
      </c>
      <c r="O37" s="21" t="s">
        <v>24</v>
      </c>
      <c r="P37" s="41"/>
      <c r="Q37" s="60"/>
    </row>
    <row r="38" spans="2:17" x14ac:dyDescent="0.15">
      <c r="B38" s="156"/>
      <c r="C38" s="169"/>
      <c r="D38" s="185"/>
      <c r="E38" s="19" t="s">
        <v>43</v>
      </c>
      <c r="F38" s="19" t="s">
        <v>44</v>
      </c>
      <c r="G38" s="20">
        <v>1</v>
      </c>
      <c r="H38" s="20" t="s">
        <v>23</v>
      </c>
      <c r="I38" s="19">
        <v>27741</v>
      </c>
      <c r="J38" s="39">
        <v>44325</v>
      </c>
      <c r="K38" s="40">
        <f>SUM(K33:K37)*0.15</f>
        <v>49.199999999999996</v>
      </c>
      <c r="L38" s="20">
        <f>SUM(K33:K36)/SUM(K33:K37)</f>
        <v>0.75609756097560976</v>
      </c>
      <c r="M38" s="20">
        <f>K37/SUM(K33:K37)</f>
        <v>0.24390243902439024</v>
      </c>
      <c r="N38" s="20">
        <f>0</f>
        <v>0</v>
      </c>
      <c r="O38" s="21" t="s">
        <v>24</v>
      </c>
      <c r="P38" s="41"/>
      <c r="Q38" s="60"/>
    </row>
    <row r="39" spans="2:17" x14ac:dyDescent="0.15">
      <c r="B39" s="156"/>
      <c r="C39" s="169"/>
      <c r="D39" s="182"/>
      <c r="E39" s="19" t="s">
        <v>46</v>
      </c>
      <c r="F39" s="19" t="s">
        <v>44</v>
      </c>
      <c r="G39" s="20">
        <v>1</v>
      </c>
      <c r="H39" s="20" t="s">
        <v>23</v>
      </c>
      <c r="I39" s="19">
        <v>27742</v>
      </c>
      <c r="J39" s="39">
        <v>44325</v>
      </c>
      <c r="K39" s="40">
        <f>SUM(K33:K37)*0.15</f>
        <v>49.199999999999996</v>
      </c>
      <c r="L39" s="20">
        <f>SUM(K33:K36)/SUM(K33:K37)</f>
        <v>0.75609756097560976</v>
      </c>
      <c r="M39" s="20">
        <f>K37/SUM(K33:K37)</f>
        <v>0.24390243902439024</v>
      </c>
      <c r="N39" s="20">
        <f>0</f>
        <v>0</v>
      </c>
      <c r="O39" s="21" t="s">
        <v>24</v>
      </c>
      <c r="P39" s="41"/>
      <c r="Q39" s="60"/>
    </row>
    <row r="40" spans="2:17" x14ac:dyDescent="0.15">
      <c r="B40" s="156"/>
      <c r="C40" s="169"/>
      <c r="D40" s="183" t="s">
        <v>307</v>
      </c>
      <c r="E40" s="19" t="s">
        <v>63</v>
      </c>
      <c r="F40" s="19" t="s">
        <v>68</v>
      </c>
      <c r="G40" s="20">
        <v>1</v>
      </c>
      <c r="H40" s="20" t="s">
        <v>23</v>
      </c>
      <c r="I40" s="19">
        <v>27743</v>
      </c>
      <c r="J40" s="39">
        <v>44301</v>
      </c>
      <c r="K40" s="40">
        <v>64</v>
      </c>
      <c r="L40" s="20">
        <v>1</v>
      </c>
      <c r="M40" s="20">
        <v>0</v>
      </c>
      <c r="N40" s="20">
        <v>0</v>
      </c>
      <c r="O40" s="21" t="s">
        <v>24</v>
      </c>
      <c r="P40" s="41"/>
      <c r="Q40" s="60"/>
    </row>
    <row r="41" spans="2:17" ht="24" x14ac:dyDescent="0.15">
      <c r="B41" s="156"/>
      <c r="C41" s="169"/>
      <c r="D41" s="185"/>
      <c r="E41" s="19" t="s">
        <v>70</v>
      </c>
      <c r="F41" s="19" t="s">
        <v>71</v>
      </c>
      <c r="G41" s="20">
        <v>1</v>
      </c>
      <c r="H41" s="20" t="s">
        <v>23</v>
      </c>
      <c r="I41" s="19">
        <v>27744</v>
      </c>
      <c r="J41" s="39">
        <v>44308</v>
      </c>
      <c r="K41" s="40">
        <v>64</v>
      </c>
      <c r="L41" s="20">
        <v>1</v>
      </c>
      <c r="M41" s="20">
        <v>0</v>
      </c>
      <c r="N41" s="20">
        <v>0</v>
      </c>
      <c r="O41" s="21" t="s">
        <v>66</v>
      </c>
      <c r="P41" s="41"/>
      <c r="Q41" s="60"/>
    </row>
    <row r="42" spans="2:17" x14ac:dyDescent="0.15">
      <c r="B42" s="156"/>
      <c r="C42" s="169"/>
      <c r="D42" s="185"/>
      <c r="E42" s="19" t="s">
        <v>67</v>
      </c>
      <c r="F42" s="19" t="s">
        <v>71</v>
      </c>
      <c r="G42" s="20">
        <v>1</v>
      </c>
      <c r="H42" s="20" t="s">
        <v>23</v>
      </c>
      <c r="I42" s="19">
        <v>27745</v>
      </c>
      <c r="J42" s="39">
        <v>44325</v>
      </c>
      <c r="K42" s="40">
        <v>80</v>
      </c>
      <c r="L42" s="20">
        <v>0.3</v>
      </c>
      <c r="M42" s="20">
        <v>0.7</v>
      </c>
      <c r="N42" s="20">
        <v>0</v>
      </c>
      <c r="O42" s="21" t="s">
        <v>24</v>
      </c>
      <c r="P42" s="41"/>
      <c r="Q42" s="60"/>
    </row>
    <row r="43" spans="2:17" x14ac:dyDescent="0.15">
      <c r="B43" s="156"/>
      <c r="C43" s="169"/>
      <c r="D43" s="185"/>
      <c r="E43" s="19" t="s">
        <v>69</v>
      </c>
      <c r="F43" s="19" t="s">
        <v>71</v>
      </c>
      <c r="G43" s="20">
        <v>1</v>
      </c>
      <c r="H43" s="20" t="s">
        <v>23</v>
      </c>
      <c r="I43" s="19">
        <v>27746</v>
      </c>
      <c r="J43" s="39">
        <v>44325</v>
      </c>
      <c r="K43" s="40">
        <v>80</v>
      </c>
      <c r="L43" s="20">
        <v>0</v>
      </c>
      <c r="M43" s="20">
        <v>1</v>
      </c>
      <c r="N43" s="20">
        <v>0</v>
      </c>
      <c r="O43" s="21" t="s">
        <v>24</v>
      </c>
      <c r="P43" s="41"/>
      <c r="Q43" s="60"/>
    </row>
    <row r="44" spans="2:17" x14ac:dyDescent="0.15">
      <c r="B44" s="156"/>
      <c r="C44" s="169"/>
      <c r="D44" s="185"/>
      <c r="E44" s="19" t="s">
        <v>43</v>
      </c>
      <c r="F44" s="19" t="s">
        <v>44</v>
      </c>
      <c r="G44" s="20">
        <v>1</v>
      </c>
      <c r="H44" s="20" t="s">
        <v>23</v>
      </c>
      <c r="I44" s="19">
        <v>27747</v>
      </c>
      <c r="J44" s="39">
        <v>44325</v>
      </c>
      <c r="K44" s="40">
        <f>SUM(K40:K43)*0.15</f>
        <v>43.199999999999996</v>
      </c>
      <c r="L44" s="20">
        <f>(K40*L40+K41*L41+K42*L42+K43*L43)/SUM(K40:K43)</f>
        <v>0.52777777777777779</v>
      </c>
      <c r="M44" s="20">
        <f>(K40*M40+K41*M41+K42*M42+K43*M43)/SUM(K40:K43)</f>
        <v>0.47222222222222221</v>
      </c>
      <c r="N44" s="20">
        <f>(K40*N40+K41*N41+K42*N42+K43*N43)/SUM(K40:K43)</f>
        <v>0</v>
      </c>
      <c r="O44" s="21" t="s">
        <v>24</v>
      </c>
      <c r="P44" s="41"/>
      <c r="Q44" s="60"/>
    </row>
    <row r="45" spans="2:17" x14ac:dyDescent="0.15">
      <c r="B45" s="156"/>
      <c r="C45" s="169"/>
      <c r="D45" s="182"/>
      <c r="E45" s="19" t="s">
        <v>46</v>
      </c>
      <c r="F45" s="19" t="s">
        <v>44</v>
      </c>
      <c r="G45" s="20">
        <v>1</v>
      </c>
      <c r="H45" s="20" t="s">
        <v>23</v>
      </c>
      <c r="I45" s="19">
        <v>27748</v>
      </c>
      <c r="J45" s="39">
        <v>44325</v>
      </c>
      <c r="K45" s="40">
        <f>SUM(K40:K43)*0.15</f>
        <v>43.199999999999996</v>
      </c>
      <c r="L45" s="20">
        <f>(K40*L40+K41*L41+K42*L42+K43*L43)/SUM(K40:K43)</f>
        <v>0.52777777777777779</v>
      </c>
      <c r="M45" s="20">
        <f>(K40*M40+K41*M41+K42*M42+K43*M43)/SUM(K40:K43)</f>
        <v>0.47222222222222221</v>
      </c>
      <c r="N45" s="20">
        <f>(K41*N41+K42*N42+K43*N43+K44*N44)/SUM(K41:K44)</f>
        <v>0</v>
      </c>
      <c r="O45" s="21" t="s">
        <v>24</v>
      </c>
      <c r="P45" s="41"/>
      <c r="Q45" s="60"/>
    </row>
    <row r="46" spans="2:17" x14ac:dyDescent="0.15">
      <c r="B46" s="156"/>
      <c r="C46" s="169"/>
      <c r="D46" s="183" t="s">
        <v>72</v>
      </c>
      <c r="E46" s="19" t="s">
        <v>73</v>
      </c>
      <c r="F46" s="19" t="s">
        <v>71</v>
      </c>
      <c r="G46" s="20">
        <v>1</v>
      </c>
      <c r="H46" s="20" t="s">
        <v>23</v>
      </c>
      <c r="I46" s="19">
        <v>27749</v>
      </c>
      <c r="J46" s="39">
        <v>44329</v>
      </c>
      <c r="K46" s="40">
        <v>80</v>
      </c>
      <c r="L46" s="20">
        <v>0.51428571428571401</v>
      </c>
      <c r="M46" s="20">
        <v>0.48571428571428599</v>
      </c>
      <c r="N46" s="20">
        <v>0</v>
      </c>
      <c r="O46" s="21" t="s">
        <v>24</v>
      </c>
      <c r="P46" s="41"/>
      <c r="Q46" s="60"/>
    </row>
    <row r="47" spans="2:17" x14ac:dyDescent="0.15">
      <c r="B47" s="156"/>
      <c r="C47" s="169"/>
      <c r="D47" s="185"/>
      <c r="E47" s="19" t="s">
        <v>74</v>
      </c>
      <c r="F47" s="19" t="s">
        <v>34</v>
      </c>
      <c r="G47" s="20">
        <v>1</v>
      </c>
      <c r="H47" s="20" t="s">
        <v>23</v>
      </c>
      <c r="I47" s="19">
        <v>27750</v>
      </c>
      <c r="J47" s="39">
        <v>44329</v>
      </c>
      <c r="K47" s="40">
        <v>40</v>
      </c>
      <c r="L47" s="20">
        <v>0</v>
      </c>
      <c r="M47" s="20">
        <v>1</v>
      </c>
      <c r="N47" s="20">
        <v>0</v>
      </c>
      <c r="O47" s="21" t="s">
        <v>24</v>
      </c>
      <c r="P47" s="41"/>
      <c r="Q47" s="60"/>
    </row>
    <row r="48" spans="2:17" x14ac:dyDescent="0.15">
      <c r="B48" s="156"/>
      <c r="C48" s="169"/>
      <c r="D48" s="185"/>
      <c r="E48" s="19" t="s">
        <v>43</v>
      </c>
      <c r="F48" s="19" t="s">
        <v>44</v>
      </c>
      <c r="G48" s="20">
        <v>1</v>
      </c>
      <c r="H48" s="20" t="s">
        <v>23</v>
      </c>
      <c r="I48" s="19">
        <v>27751</v>
      </c>
      <c r="J48" s="39">
        <v>44329</v>
      </c>
      <c r="K48" s="40">
        <f>SUM(K46:K47)*0.15</f>
        <v>18</v>
      </c>
      <c r="L48" s="20">
        <v>0</v>
      </c>
      <c r="M48" s="20">
        <v>1</v>
      </c>
      <c r="N48" s="20">
        <v>0</v>
      </c>
      <c r="O48" s="21" t="s">
        <v>24</v>
      </c>
      <c r="P48" s="41"/>
      <c r="Q48" s="60"/>
    </row>
    <row r="49" spans="2:17" x14ac:dyDescent="0.15">
      <c r="B49" s="156"/>
      <c r="C49" s="169"/>
      <c r="D49" s="185"/>
      <c r="E49" s="21" t="s">
        <v>46</v>
      </c>
      <c r="F49" s="21" t="s">
        <v>44</v>
      </c>
      <c r="G49" s="24">
        <v>1</v>
      </c>
      <c r="H49" s="24" t="s">
        <v>23</v>
      </c>
      <c r="I49" s="21">
        <v>27752</v>
      </c>
      <c r="J49" s="50">
        <v>44329</v>
      </c>
      <c r="K49" s="51">
        <f>SUM(K46:K47)*0.15</f>
        <v>18</v>
      </c>
      <c r="L49" s="24">
        <v>0</v>
      </c>
      <c r="M49" s="24">
        <v>1</v>
      </c>
      <c r="N49" s="24">
        <v>0</v>
      </c>
      <c r="O49" s="21" t="s">
        <v>24</v>
      </c>
      <c r="P49" s="45"/>
      <c r="Q49" s="63"/>
    </row>
    <row r="50" spans="2:17" s="5" customFormat="1" x14ac:dyDescent="0.15">
      <c r="B50" s="156"/>
      <c r="C50" s="172" t="s">
        <v>308</v>
      </c>
      <c r="D50" s="186" t="s">
        <v>309</v>
      </c>
      <c r="E50" s="26" t="s">
        <v>63</v>
      </c>
      <c r="F50" s="26" t="s">
        <v>76</v>
      </c>
      <c r="G50" s="27"/>
      <c r="H50" s="27" t="s">
        <v>23</v>
      </c>
      <c r="I50" s="26"/>
      <c r="J50" s="52">
        <v>44343</v>
      </c>
      <c r="K50" s="53">
        <v>64</v>
      </c>
      <c r="L50" s="27">
        <v>0</v>
      </c>
      <c r="M50" s="27">
        <v>1</v>
      </c>
      <c r="N50" s="27">
        <v>0</v>
      </c>
      <c r="O50" s="25"/>
      <c r="P50" s="54"/>
      <c r="Q50" s="64"/>
    </row>
    <row r="51" spans="2:17" s="5" customFormat="1" x14ac:dyDescent="0.15">
      <c r="B51" s="156"/>
      <c r="C51" s="173"/>
      <c r="D51" s="187"/>
      <c r="E51" s="28" t="s">
        <v>65</v>
      </c>
      <c r="F51" s="28" t="s">
        <v>76</v>
      </c>
      <c r="G51" s="29"/>
      <c r="H51" s="29" t="s">
        <v>23</v>
      </c>
      <c r="I51" s="28"/>
      <c r="J51" s="55">
        <v>44350</v>
      </c>
      <c r="K51" s="56">
        <v>64</v>
      </c>
      <c r="L51" s="29">
        <v>0</v>
      </c>
      <c r="M51" s="29">
        <v>0.1</v>
      </c>
      <c r="N51" s="29">
        <v>0.9</v>
      </c>
      <c r="O51" s="31"/>
      <c r="P51" s="57"/>
      <c r="Q51" s="65"/>
    </row>
    <row r="52" spans="2:17" s="5" customFormat="1" x14ac:dyDescent="0.15">
      <c r="B52" s="156"/>
      <c r="C52" s="173"/>
      <c r="D52" s="187"/>
      <c r="E52" s="28" t="s">
        <v>67</v>
      </c>
      <c r="F52" s="28" t="s">
        <v>68</v>
      </c>
      <c r="G52" s="29"/>
      <c r="H52" s="29" t="s">
        <v>23</v>
      </c>
      <c r="I52" s="28"/>
      <c r="J52" s="55">
        <v>44357</v>
      </c>
      <c r="K52" s="56">
        <v>40</v>
      </c>
      <c r="L52" s="29">
        <v>0</v>
      </c>
      <c r="M52" s="29">
        <v>0</v>
      </c>
      <c r="N52" s="29">
        <v>1</v>
      </c>
      <c r="O52" s="31"/>
      <c r="P52" s="57"/>
      <c r="Q52" s="65"/>
    </row>
    <row r="53" spans="2:17" s="5" customFormat="1" x14ac:dyDescent="0.15">
      <c r="B53" s="156"/>
      <c r="C53" s="173"/>
      <c r="D53" s="187"/>
      <c r="E53" s="28" t="s">
        <v>69</v>
      </c>
      <c r="F53" s="28" t="s">
        <v>68</v>
      </c>
      <c r="G53" s="29"/>
      <c r="H53" s="29" t="s">
        <v>23</v>
      </c>
      <c r="I53" s="28"/>
      <c r="J53" s="55">
        <v>44357</v>
      </c>
      <c r="K53" s="56">
        <v>40</v>
      </c>
      <c r="L53" s="29">
        <v>0</v>
      </c>
      <c r="M53" s="29">
        <v>0</v>
      </c>
      <c r="N53" s="29">
        <v>1</v>
      </c>
      <c r="O53" s="31"/>
      <c r="P53" s="57"/>
      <c r="Q53" s="65"/>
    </row>
    <row r="54" spans="2:17" s="5" customFormat="1" x14ac:dyDescent="0.15">
      <c r="B54" s="156"/>
      <c r="C54" s="173"/>
      <c r="D54" s="187"/>
      <c r="E54" s="28" t="s">
        <v>77</v>
      </c>
      <c r="F54" s="28" t="s">
        <v>76</v>
      </c>
      <c r="G54" s="29"/>
      <c r="H54" s="29" t="s">
        <v>23</v>
      </c>
      <c r="I54" s="28"/>
      <c r="J54" s="55">
        <v>44358</v>
      </c>
      <c r="K54" s="56">
        <v>32</v>
      </c>
      <c r="L54" s="29">
        <v>0</v>
      </c>
      <c r="M54" s="29">
        <v>0</v>
      </c>
      <c r="N54" s="29">
        <v>1</v>
      </c>
      <c r="O54" s="31"/>
      <c r="P54" s="57"/>
      <c r="Q54" s="65"/>
    </row>
    <row r="55" spans="2:17" s="5" customFormat="1" x14ac:dyDescent="0.15">
      <c r="B55" s="156"/>
      <c r="C55" s="173"/>
      <c r="D55" s="187"/>
      <c r="E55" s="28" t="s">
        <v>43</v>
      </c>
      <c r="F55" s="28" t="s">
        <v>44</v>
      </c>
      <c r="G55" s="29"/>
      <c r="H55" s="29" t="s">
        <v>23</v>
      </c>
      <c r="I55" s="28"/>
      <c r="J55" s="55">
        <v>44358</v>
      </c>
      <c r="K55" s="56">
        <f>SUM(K50:K54)*0.15</f>
        <v>36</v>
      </c>
      <c r="L55" s="29">
        <v>0</v>
      </c>
      <c r="M55" s="29">
        <f>(K50*M50+K51*M51+K52*M52+K53*M53+K54*M54)/SUM(K50:K54)</f>
        <v>0.29333333333333333</v>
      </c>
      <c r="N55" s="29">
        <f>(K50*N50+K51*N51+K52*N52+K53*N53+K54*K54)/SUM(K50:K54)</f>
        <v>4.84</v>
      </c>
      <c r="O55" s="31"/>
      <c r="P55" s="57"/>
      <c r="Q55" s="65"/>
    </row>
    <row r="56" spans="2:17" s="5" customFormat="1" x14ac:dyDescent="0.15">
      <c r="B56" s="156"/>
      <c r="C56" s="173"/>
      <c r="D56" s="188"/>
      <c r="E56" s="28" t="s">
        <v>46</v>
      </c>
      <c r="F56" s="28" t="s">
        <v>44</v>
      </c>
      <c r="G56" s="29"/>
      <c r="H56" s="29" t="s">
        <v>23</v>
      </c>
      <c r="I56" s="28"/>
      <c r="J56" s="55">
        <v>44358</v>
      </c>
      <c r="K56" s="56">
        <f>SUM(K50:K54)*0.15</f>
        <v>36</v>
      </c>
      <c r="L56" s="29">
        <v>0</v>
      </c>
      <c r="M56" s="29">
        <f>(K50*M50+K51*M51+K52*M52+K53*M53+K54*M54)/SUM(K50:K54)</f>
        <v>0.29333333333333333</v>
      </c>
      <c r="N56" s="29">
        <f>(K50*N50+K51*N51+K52*N52+K53*N53+K54*N54)/SUM(K50:K54)</f>
        <v>0.70666666666666667</v>
      </c>
      <c r="O56" s="31"/>
      <c r="P56" s="57"/>
      <c r="Q56" s="65"/>
    </row>
    <row r="57" spans="2:17" s="5" customFormat="1" x14ac:dyDescent="0.15">
      <c r="B57" s="156"/>
      <c r="C57" s="173"/>
      <c r="D57" s="189" t="s">
        <v>310</v>
      </c>
      <c r="E57" s="28" t="s">
        <v>63</v>
      </c>
      <c r="F57" s="28" t="s">
        <v>68</v>
      </c>
      <c r="G57" s="29"/>
      <c r="H57" s="29" t="s">
        <v>23</v>
      </c>
      <c r="I57" s="28"/>
      <c r="J57" s="55">
        <v>44343</v>
      </c>
      <c r="K57" s="56">
        <v>16</v>
      </c>
      <c r="L57" s="29">
        <v>0</v>
      </c>
      <c r="M57" s="29">
        <v>1</v>
      </c>
      <c r="N57" s="29">
        <v>0</v>
      </c>
      <c r="O57" s="31"/>
      <c r="P57" s="57"/>
      <c r="Q57" s="65"/>
    </row>
    <row r="58" spans="2:17" s="5" customFormat="1" x14ac:dyDescent="0.15">
      <c r="B58" s="156"/>
      <c r="C58" s="173"/>
      <c r="D58" s="187"/>
      <c r="E58" s="28" t="s">
        <v>70</v>
      </c>
      <c r="F58" s="28" t="s">
        <v>71</v>
      </c>
      <c r="G58" s="29"/>
      <c r="H58" s="29" t="s">
        <v>23</v>
      </c>
      <c r="I58" s="28"/>
      <c r="J58" s="55">
        <v>44350</v>
      </c>
      <c r="K58" s="56">
        <v>16</v>
      </c>
      <c r="L58" s="29">
        <v>0</v>
      </c>
      <c r="M58" s="29">
        <v>0.1</v>
      </c>
      <c r="N58" s="29">
        <v>0.9</v>
      </c>
      <c r="O58" s="31"/>
      <c r="P58" s="57"/>
      <c r="Q58" s="65"/>
    </row>
    <row r="59" spans="2:17" s="5" customFormat="1" x14ac:dyDescent="0.15">
      <c r="B59" s="156"/>
      <c r="C59" s="173"/>
      <c r="D59" s="187"/>
      <c r="E59" s="28" t="s">
        <v>67</v>
      </c>
      <c r="F59" s="28" t="s">
        <v>71</v>
      </c>
      <c r="G59" s="29"/>
      <c r="H59" s="29" t="s">
        <v>23</v>
      </c>
      <c r="I59" s="28"/>
      <c r="J59" s="55">
        <v>44357</v>
      </c>
      <c r="K59" s="56">
        <v>16</v>
      </c>
      <c r="L59" s="29">
        <v>0</v>
      </c>
      <c r="M59" s="29">
        <v>0</v>
      </c>
      <c r="N59" s="29">
        <v>1</v>
      </c>
      <c r="O59" s="31"/>
      <c r="P59" s="57"/>
      <c r="Q59" s="65"/>
    </row>
    <row r="60" spans="2:17" s="5" customFormat="1" x14ac:dyDescent="0.15">
      <c r="B60" s="156"/>
      <c r="C60" s="173"/>
      <c r="D60" s="187"/>
      <c r="E60" s="28" t="s">
        <v>69</v>
      </c>
      <c r="F60" s="28" t="s">
        <v>71</v>
      </c>
      <c r="G60" s="29"/>
      <c r="H60" s="29" t="s">
        <v>23</v>
      </c>
      <c r="I60" s="28"/>
      <c r="J60" s="55">
        <v>44357</v>
      </c>
      <c r="K60" s="56">
        <v>40</v>
      </c>
      <c r="L60" s="29">
        <v>0</v>
      </c>
      <c r="M60" s="29">
        <v>0</v>
      </c>
      <c r="N60" s="29">
        <v>1</v>
      </c>
      <c r="O60" s="31"/>
      <c r="P60" s="57"/>
      <c r="Q60" s="65"/>
    </row>
    <row r="61" spans="2:17" s="5" customFormat="1" x14ac:dyDescent="0.15">
      <c r="B61" s="156"/>
      <c r="C61" s="173"/>
      <c r="D61" s="187"/>
      <c r="E61" s="28" t="s">
        <v>77</v>
      </c>
      <c r="F61" s="28" t="s">
        <v>78</v>
      </c>
      <c r="G61" s="29"/>
      <c r="H61" s="29" t="s">
        <v>23</v>
      </c>
      <c r="I61" s="28"/>
      <c r="J61" s="55">
        <v>44358</v>
      </c>
      <c r="K61" s="56">
        <v>32</v>
      </c>
      <c r="L61" s="29">
        <v>0</v>
      </c>
      <c r="M61" s="29">
        <v>0</v>
      </c>
      <c r="N61" s="29">
        <v>1</v>
      </c>
      <c r="O61" s="31"/>
      <c r="P61" s="57"/>
      <c r="Q61" s="65"/>
    </row>
    <row r="62" spans="2:17" s="5" customFormat="1" x14ac:dyDescent="0.15">
      <c r="B62" s="156"/>
      <c r="C62" s="173"/>
      <c r="D62" s="187"/>
      <c r="E62" s="28" t="s">
        <v>43</v>
      </c>
      <c r="F62" s="28" t="s">
        <v>44</v>
      </c>
      <c r="G62" s="29"/>
      <c r="H62" s="29" t="s">
        <v>23</v>
      </c>
      <c r="I62" s="28"/>
      <c r="J62" s="55">
        <v>44358</v>
      </c>
      <c r="K62" s="56">
        <f>SUM(K57:K61)*0.15</f>
        <v>18</v>
      </c>
      <c r="L62" s="29">
        <v>0</v>
      </c>
      <c r="M62" s="29">
        <f>(K57*M57+K58*M58+K59*M59+K60*M60+K61*M61)/SUM(K57:K61)</f>
        <v>0.14666666666666667</v>
      </c>
      <c r="N62" s="29">
        <f>(K57*N57+K58*N58+K59*N59+K60*N60+K61*K61)/SUM(K57:K61)</f>
        <v>9.120000000000001</v>
      </c>
      <c r="O62" s="31"/>
      <c r="P62" s="57"/>
      <c r="Q62" s="65"/>
    </row>
    <row r="63" spans="2:17" s="5" customFormat="1" x14ac:dyDescent="0.15">
      <c r="B63" s="156"/>
      <c r="C63" s="173"/>
      <c r="D63" s="188"/>
      <c r="E63" s="28" t="s">
        <v>46</v>
      </c>
      <c r="F63" s="28" t="s">
        <v>44</v>
      </c>
      <c r="G63" s="29"/>
      <c r="H63" s="29" t="s">
        <v>23</v>
      </c>
      <c r="I63" s="28"/>
      <c r="J63" s="55">
        <v>44358</v>
      </c>
      <c r="K63" s="56">
        <f>SUM(K57:K61)*0.15</f>
        <v>18</v>
      </c>
      <c r="L63" s="29">
        <v>0</v>
      </c>
      <c r="M63" s="29">
        <f>(K57*M57+K58*M58+K59*M59+K60*M60+K61*M61)/SUM(K57:K61)</f>
        <v>0.14666666666666667</v>
      </c>
      <c r="N63" s="29">
        <f>(K57*N57+K58*N58+K59*N59+K60*N60+K61*N61)/SUM(K57:K61)</f>
        <v>0.85333333333333339</v>
      </c>
      <c r="O63" s="28"/>
      <c r="P63" s="57"/>
      <c r="Q63" s="65"/>
    </row>
    <row r="64" spans="2:17" s="5" customFormat="1" x14ac:dyDescent="0.15">
      <c r="B64" s="156"/>
      <c r="C64" s="173"/>
      <c r="D64" s="189" t="s">
        <v>74</v>
      </c>
      <c r="E64" s="28" t="s">
        <v>79</v>
      </c>
      <c r="F64" s="28" t="s">
        <v>80</v>
      </c>
      <c r="G64" s="29"/>
      <c r="H64" s="29" t="s">
        <v>23</v>
      </c>
      <c r="I64" s="28"/>
      <c r="J64" s="55">
        <v>44362</v>
      </c>
      <c r="K64" s="56">
        <v>32</v>
      </c>
      <c r="L64" s="29">
        <v>0</v>
      </c>
      <c r="M64" s="29">
        <v>0</v>
      </c>
      <c r="N64" s="29">
        <v>1</v>
      </c>
      <c r="O64" s="28"/>
      <c r="P64" s="57"/>
      <c r="Q64" s="65"/>
    </row>
    <row r="65" spans="2:17" s="5" customFormat="1" x14ac:dyDescent="0.15">
      <c r="B65" s="156"/>
      <c r="C65" s="173"/>
      <c r="D65" s="187"/>
      <c r="E65" s="28" t="s">
        <v>81</v>
      </c>
      <c r="F65" s="28" t="s">
        <v>80</v>
      </c>
      <c r="G65" s="29"/>
      <c r="H65" s="29" t="s">
        <v>23</v>
      </c>
      <c r="I65" s="28"/>
      <c r="J65" s="55">
        <v>44362</v>
      </c>
      <c r="K65" s="56">
        <v>32</v>
      </c>
      <c r="L65" s="29">
        <v>0</v>
      </c>
      <c r="M65" s="29">
        <v>0</v>
      </c>
      <c r="N65" s="29">
        <v>1</v>
      </c>
      <c r="O65" s="28"/>
      <c r="P65" s="57"/>
      <c r="Q65" s="65"/>
    </row>
    <row r="66" spans="2:17" s="5" customFormat="1" x14ac:dyDescent="0.15">
      <c r="B66" s="156"/>
      <c r="C66" s="173"/>
      <c r="D66" s="187"/>
      <c r="E66" s="30" t="s">
        <v>43</v>
      </c>
      <c r="F66" s="30" t="s">
        <v>44</v>
      </c>
      <c r="G66" s="66"/>
      <c r="H66" s="66" t="s">
        <v>23</v>
      </c>
      <c r="I66" s="28"/>
      <c r="J66" s="55">
        <v>44363</v>
      </c>
      <c r="K66" s="56">
        <f>SUM(K64:K65)*0.15</f>
        <v>9.6</v>
      </c>
      <c r="L66" s="29">
        <v>0</v>
      </c>
      <c r="M66" s="29">
        <v>0</v>
      </c>
      <c r="N66" s="29">
        <v>1</v>
      </c>
      <c r="O66" s="28"/>
      <c r="P66" s="57"/>
      <c r="Q66" s="65"/>
    </row>
    <row r="67" spans="2:17" s="5" customFormat="1" x14ac:dyDescent="0.15">
      <c r="B67" s="157"/>
      <c r="C67" s="174"/>
      <c r="D67" s="190"/>
      <c r="E67" s="68" t="s">
        <v>46</v>
      </c>
      <c r="F67" s="68" t="s">
        <v>44</v>
      </c>
      <c r="G67" s="69"/>
      <c r="H67" s="69" t="s">
        <v>23</v>
      </c>
      <c r="I67" s="67"/>
      <c r="J67" s="91">
        <v>44363</v>
      </c>
      <c r="K67" s="92">
        <f>SUM(K64:K65)*0.15</f>
        <v>9.6</v>
      </c>
      <c r="L67" s="93">
        <v>0</v>
      </c>
      <c r="M67" s="93">
        <v>0</v>
      </c>
      <c r="N67" s="93">
        <v>1</v>
      </c>
      <c r="O67" s="67"/>
      <c r="P67" s="94"/>
      <c r="Q67" s="113"/>
    </row>
    <row r="68" spans="2:17" x14ac:dyDescent="0.15">
      <c r="B68" s="158" t="s">
        <v>82</v>
      </c>
      <c r="C68" s="175" t="s">
        <v>304</v>
      </c>
      <c r="D68" s="191" t="s">
        <v>303</v>
      </c>
      <c r="E68" s="16" t="s">
        <v>84</v>
      </c>
      <c r="F68" s="16" t="s">
        <v>71</v>
      </c>
      <c r="G68" s="71">
        <v>1</v>
      </c>
      <c r="H68" s="71" t="s">
        <v>23</v>
      </c>
      <c r="I68" s="16">
        <v>27547</v>
      </c>
      <c r="J68" s="36">
        <v>44294</v>
      </c>
      <c r="K68" s="37">
        <v>40</v>
      </c>
      <c r="L68" s="17">
        <v>1</v>
      </c>
      <c r="M68" s="17">
        <v>0</v>
      </c>
      <c r="N68" s="17">
        <v>0</v>
      </c>
      <c r="O68" s="191" t="s">
        <v>51</v>
      </c>
      <c r="P68" s="38"/>
      <c r="Q68" s="114"/>
    </row>
    <row r="69" spans="2:17" x14ac:dyDescent="0.15">
      <c r="B69" s="159"/>
      <c r="C69" s="176"/>
      <c r="D69" s="192"/>
      <c r="E69" s="19" t="s">
        <v>85</v>
      </c>
      <c r="F69" s="19" t="s">
        <v>71</v>
      </c>
      <c r="G69" s="72">
        <v>1</v>
      </c>
      <c r="H69" s="72" t="s">
        <v>23</v>
      </c>
      <c r="I69" s="19">
        <v>27547</v>
      </c>
      <c r="J69" s="39">
        <v>44298</v>
      </c>
      <c r="K69" s="40">
        <v>24</v>
      </c>
      <c r="L69" s="20">
        <v>1</v>
      </c>
      <c r="M69" s="20">
        <v>0</v>
      </c>
      <c r="N69" s="20">
        <v>0</v>
      </c>
      <c r="O69" s="192"/>
      <c r="P69" s="41"/>
      <c r="Q69" s="60"/>
    </row>
    <row r="70" spans="2:17" x14ac:dyDescent="0.15">
      <c r="B70" s="159"/>
      <c r="C70" s="176"/>
      <c r="D70" s="192" t="s">
        <v>86</v>
      </c>
      <c r="E70" s="19" t="s">
        <v>87</v>
      </c>
      <c r="F70" s="19" t="s">
        <v>88</v>
      </c>
      <c r="G70" s="72">
        <v>1</v>
      </c>
      <c r="H70" s="20" t="s">
        <v>23</v>
      </c>
      <c r="I70" s="19">
        <v>27548</v>
      </c>
      <c r="J70" s="39">
        <v>44302</v>
      </c>
      <c r="K70" s="40">
        <v>30</v>
      </c>
      <c r="L70" s="20">
        <v>1</v>
      </c>
      <c r="M70" s="20">
        <v>0</v>
      </c>
      <c r="N70" s="20">
        <v>0</v>
      </c>
      <c r="O70" s="192" t="s">
        <v>51</v>
      </c>
      <c r="P70" s="41"/>
      <c r="Q70" s="60"/>
    </row>
    <row r="71" spans="2:17" x14ac:dyDescent="0.15">
      <c r="B71" s="159"/>
      <c r="C71" s="176"/>
      <c r="D71" s="192"/>
      <c r="E71" s="19" t="s">
        <v>89</v>
      </c>
      <c r="F71" s="19" t="s">
        <v>71</v>
      </c>
      <c r="G71" s="72">
        <v>1</v>
      </c>
      <c r="H71" s="20" t="s">
        <v>23</v>
      </c>
      <c r="I71" s="19">
        <v>27548</v>
      </c>
      <c r="J71" s="39">
        <v>44307</v>
      </c>
      <c r="K71" s="40">
        <v>30</v>
      </c>
      <c r="L71" s="20">
        <v>1</v>
      </c>
      <c r="M71" s="20">
        <v>0</v>
      </c>
      <c r="N71" s="20">
        <v>0</v>
      </c>
      <c r="O71" s="192"/>
      <c r="P71" s="41"/>
      <c r="Q71" s="60"/>
    </row>
    <row r="72" spans="2:17" x14ac:dyDescent="0.15">
      <c r="B72" s="159"/>
      <c r="C72" s="176"/>
      <c r="D72" s="192" t="s">
        <v>90</v>
      </c>
      <c r="E72" s="19" t="s">
        <v>91</v>
      </c>
      <c r="F72" s="19" t="s">
        <v>22</v>
      </c>
      <c r="G72" s="72">
        <v>1</v>
      </c>
      <c r="H72" s="20" t="s">
        <v>23</v>
      </c>
      <c r="I72" s="19">
        <v>27625</v>
      </c>
      <c r="J72" s="39">
        <v>44293</v>
      </c>
      <c r="K72" s="206">
        <v>24</v>
      </c>
      <c r="L72" s="20">
        <v>1</v>
      </c>
      <c r="M72" s="20">
        <v>0</v>
      </c>
      <c r="N72" s="20">
        <v>0</v>
      </c>
      <c r="O72" s="192" t="s">
        <v>51</v>
      </c>
      <c r="P72" s="41"/>
      <c r="Q72" s="211" t="s">
        <v>92</v>
      </c>
    </row>
    <row r="73" spans="2:17" x14ac:dyDescent="0.15">
      <c r="B73" s="159"/>
      <c r="C73" s="176"/>
      <c r="D73" s="192"/>
      <c r="E73" s="19" t="s">
        <v>93</v>
      </c>
      <c r="F73" s="19" t="s">
        <v>34</v>
      </c>
      <c r="G73" s="72">
        <v>1</v>
      </c>
      <c r="H73" s="20" t="s">
        <v>23</v>
      </c>
      <c r="I73" s="19">
        <v>27627</v>
      </c>
      <c r="J73" s="39">
        <v>44297</v>
      </c>
      <c r="K73" s="206"/>
      <c r="L73" s="20">
        <v>1</v>
      </c>
      <c r="M73" s="20">
        <v>0</v>
      </c>
      <c r="N73" s="20">
        <v>0</v>
      </c>
      <c r="O73" s="192"/>
      <c r="P73" s="41"/>
      <c r="Q73" s="211"/>
    </row>
    <row r="74" spans="2:17" x14ac:dyDescent="0.15">
      <c r="B74" s="159"/>
      <c r="C74" s="176"/>
      <c r="D74" s="192"/>
      <c r="E74" s="19" t="s">
        <v>94</v>
      </c>
      <c r="F74" s="19" t="s">
        <v>42</v>
      </c>
      <c r="G74" s="72">
        <v>1</v>
      </c>
      <c r="H74" s="20" t="s">
        <v>23</v>
      </c>
      <c r="I74" s="19">
        <v>27626</v>
      </c>
      <c r="J74" s="39">
        <v>44301</v>
      </c>
      <c r="K74" s="206">
        <v>24</v>
      </c>
      <c r="L74" s="20">
        <v>1</v>
      </c>
      <c r="M74" s="20">
        <v>0</v>
      </c>
      <c r="N74" s="20">
        <v>0</v>
      </c>
      <c r="O74" s="192" t="s">
        <v>51</v>
      </c>
      <c r="P74" s="41"/>
      <c r="Q74" s="60"/>
    </row>
    <row r="75" spans="2:17" x14ac:dyDescent="0.15">
      <c r="B75" s="159"/>
      <c r="C75" s="176"/>
      <c r="D75" s="192"/>
      <c r="E75" s="19" t="s">
        <v>95</v>
      </c>
      <c r="F75" s="19" t="s">
        <v>42</v>
      </c>
      <c r="G75" s="72">
        <v>1</v>
      </c>
      <c r="H75" s="20" t="s">
        <v>23</v>
      </c>
      <c r="I75" s="19">
        <v>27628</v>
      </c>
      <c r="J75" s="39">
        <v>44306</v>
      </c>
      <c r="K75" s="206"/>
      <c r="L75" s="20">
        <v>1</v>
      </c>
      <c r="M75" s="20">
        <v>0</v>
      </c>
      <c r="N75" s="20">
        <v>0</v>
      </c>
      <c r="O75" s="192"/>
      <c r="P75" s="41"/>
      <c r="Q75" s="60"/>
    </row>
    <row r="76" spans="2:17" ht="24" x14ac:dyDescent="0.15">
      <c r="B76" s="159"/>
      <c r="C76" s="176"/>
      <c r="D76" s="19" t="s">
        <v>43</v>
      </c>
      <c r="E76" s="19"/>
      <c r="F76" s="19" t="s">
        <v>44</v>
      </c>
      <c r="G76" s="72">
        <v>1</v>
      </c>
      <c r="H76" s="72" t="s">
        <v>23</v>
      </c>
      <c r="I76" s="19"/>
      <c r="J76" s="39">
        <v>44307</v>
      </c>
      <c r="K76" s="40">
        <f>SUM(K68:K75)*0.15</f>
        <v>25.8</v>
      </c>
      <c r="L76" s="20">
        <v>1</v>
      </c>
      <c r="M76" s="20">
        <v>0</v>
      </c>
      <c r="N76" s="20">
        <v>0</v>
      </c>
      <c r="O76" s="19" t="s">
        <v>51</v>
      </c>
      <c r="P76" s="41"/>
      <c r="Q76" s="60"/>
    </row>
    <row r="77" spans="2:17" ht="24" x14ac:dyDescent="0.15">
      <c r="B77" s="160"/>
      <c r="C77" s="177"/>
      <c r="D77" s="73" t="s">
        <v>46</v>
      </c>
      <c r="E77" s="73"/>
      <c r="F77" s="73" t="s">
        <v>44</v>
      </c>
      <c r="G77" s="74">
        <v>0</v>
      </c>
      <c r="H77" s="74" t="s">
        <v>23</v>
      </c>
      <c r="I77" s="73"/>
      <c r="J77" s="95">
        <v>44307</v>
      </c>
      <c r="K77" s="96">
        <f>SUM(K68:K75)*0.15</f>
        <v>25.8</v>
      </c>
      <c r="L77" s="97">
        <v>0</v>
      </c>
      <c r="M77" s="97">
        <v>1</v>
      </c>
      <c r="N77" s="97">
        <v>0</v>
      </c>
      <c r="O77" s="68" t="s">
        <v>51</v>
      </c>
      <c r="P77" s="98"/>
      <c r="Q77" s="115"/>
    </row>
    <row r="78" spans="2:17" x14ac:dyDescent="0.15">
      <c r="B78" s="156" t="s">
        <v>96</v>
      </c>
      <c r="C78" s="163" t="s">
        <v>97</v>
      </c>
      <c r="D78" s="193" t="s">
        <v>86</v>
      </c>
      <c r="E78" s="75" t="s">
        <v>98</v>
      </c>
      <c r="F78" s="75" t="s">
        <v>99</v>
      </c>
      <c r="G78" s="76">
        <v>0</v>
      </c>
      <c r="H78" s="76"/>
      <c r="I78" s="75"/>
      <c r="J78" s="99">
        <v>44326</v>
      </c>
      <c r="K78" s="100">
        <v>80</v>
      </c>
      <c r="L78" s="76">
        <v>0</v>
      </c>
      <c r="M78" s="76">
        <v>0</v>
      </c>
      <c r="N78" s="76">
        <v>1</v>
      </c>
      <c r="O78" s="75" t="s">
        <v>100</v>
      </c>
      <c r="P78" s="101"/>
      <c r="Q78" s="116"/>
    </row>
    <row r="79" spans="2:17" ht="24" x14ac:dyDescent="0.15">
      <c r="B79" s="156"/>
      <c r="C79" s="163"/>
      <c r="D79" s="194"/>
      <c r="E79" s="18" t="s">
        <v>101</v>
      </c>
      <c r="F79" s="18" t="s">
        <v>99</v>
      </c>
      <c r="G79" s="77">
        <v>1</v>
      </c>
      <c r="H79" s="77"/>
      <c r="I79" s="18">
        <v>27943</v>
      </c>
      <c r="J79" s="102"/>
      <c r="K79" s="103">
        <v>0</v>
      </c>
      <c r="L79" s="77">
        <v>0</v>
      </c>
      <c r="M79" s="77">
        <v>1</v>
      </c>
      <c r="N79" s="77">
        <v>0</v>
      </c>
      <c r="O79" s="18" t="s">
        <v>102</v>
      </c>
      <c r="P79" s="46"/>
      <c r="Q79" s="117"/>
    </row>
    <row r="80" spans="2:17" x14ac:dyDescent="0.15">
      <c r="B80" s="156"/>
      <c r="C80" s="163"/>
      <c r="D80" s="194"/>
      <c r="E80" s="75" t="s">
        <v>103</v>
      </c>
      <c r="F80" s="75" t="s">
        <v>104</v>
      </c>
      <c r="G80" s="76">
        <v>0.5</v>
      </c>
      <c r="H80" s="76"/>
      <c r="I80" s="75">
        <v>27964</v>
      </c>
      <c r="J80" s="99"/>
      <c r="K80" s="100">
        <v>166</v>
      </c>
      <c r="L80" s="76">
        <v>0</v>
      </c>
      <c r="M80" s="76">
        <v>0.6</v>
      </c>
      <c r="N80" s="76">
        <v>0.4</v>
      </c>
      <c r="O80" s="75"/>
      <c r="P80" s="101"/>
      <c r="Q80" s="116"/>
    </row>
    <row r="81" spans="2:17" x14ac:dyDescent="0.15">
      <c r="B81" s="156"/>
      <c r="C81" s="163"/>
      <c r="D81" s="195"/>
      <c r="E81" s="75" t="s">
        <v>105</v>
      </c>
      <c r="F81" s="75" t="s">
        <v>104</v>
      </c>
      <c r="G81" s="76"/>
      <c r="H81" s="76"/>
      <c r="I81" s="75">
        <v>28244</v>
      </c>
      <c r="J81" s="99"/>
      <c r="K81" s="100">
        <v>56</v>
      </c>
      <c r="L81" s="76">
        <v>0</v>
      </c>
      <c r="M81" s="76">
        <v>0</v>
      </c>
      <c r="N81" s="76">
        <v>1</v>
      </c>
      <c r="O81" s="75"/>
      <c r="P81" s="101"/>
      <c r="Q81" s="116"/>
    </row>
    <row r="82" spans="2:17" x14ac:dyDescent="0.15">
      <c r="B82" s="156"/>
      <c r="C82" s="163"/>
      <c r="D82" s="19" t="s">
        <v>106</v>
      </c>
      <c r="E82" s="19" t="s">
        <v>107</v>
      </c>
      <c r="F82" s="19" t="s">
        <v>108</v>
      </c>
      <c r="G82" s="72">
        <v>1</v>
      </c>
      <c r="H82" s="72"/>
      <c r="I82" s="19"/>
      <c r="J82" s="39">
        <v>44308</v>
      </c>
      <c r="K82" s="40">
        <v>8</v>
      </c>
      <c r="L82" s="72">
        <v>1</v>
      </c>
      <c r="M82" s="72">
        <v>0</v>
      </c>
      <c r="N82" s="72">
        <v>0</v>
      </c>
      <c r="O82" s="19"/>
      <c r="P82" s="41"/>
      <c r="Q82" s="60" t="s">
        <v>109</v>
      </c>
    </row>
    <row r="83" spans="2:17" x14ac:dyDescent="0.15">
      <c r="B83" s="156"/>
      <c r="C83" s="163"/>
      <c r="D83" s="196" t="s">
        <v>62</v>
      </c>
      <c r="E83" s="19" t="s">
        <v>110</v>
      </c>
      <c r="F83" s="19" t="s">
        <v>111</v>
      </c>
      <c r="G83" s="72">
        <v>1</v>
      </c>
      <c r="H83" s="72"/>
      <c r="I83" s="19"/>
      <c r="J83" s="39">
        <v>44298</v>
      </c>
      <c r="K83" s="40">
        <v>40</v>
      </c>
      <c r="L83" s="72">
        <v>1</v>
      </c>
      <c r="M83" s="72">
        <v>0</v>
      </c>
      <c r="N83" s="72">
        <v>0</v>
      </c>
      <c r="O83" s="19" t="s">
        <v>112</v>
      </c>
      <c r="P83" s="49"/>
      <c r="Q83" s="62"/>
    </row>
    <row r="84" spans="2:17" x14ac:dyDescent="0.15">
      <c r="B84" s="156"/>
      <c r="C84" s="163"/>
      <c r="D84" s="197"/>
      <c r="E84" s="19" t="s">
        <v>113</v>
      </c>
      <c r="F84" s="19" t="s">
        <v>111</v>
      </c>
      <c r="G84" s="72">
        <v>1</v>
      </c>
      <c r="H84" s="72"/>
      <c r="I84" s="19"/>
      <c r="J84" s="39">
        <v>44300</v>
      </c>
      <c r="K84" s="40">
        <v>24</v>
      </c>
      <c r="L84" s="72">
        <v>1</v>
      </c>
      <c r="M84" s="72">
        <v>0</v>
      </c>
      <c r="N84" s="72">
        <v>0</v>
      </c>
      <c r="O84" s="19" t="s">
        <v>112</v>
      </c>
      <c r="P84" s="49"/>
      <c r="Q84" s="62"/>
    </row>
    <row r="85" spans="2:17" ht="60" x14ac:dyDescent="0.15">
      <c r="B85" s="156"/>
      <c r="C85" s="163"/>
      <c r="D85" s="197"/>
      <c r="E85" s="19" t="s">
        <v>114</v>
      </c>
      <c r="F85" s="19" t="s">
        <v>108</v>
      </c>
      <c r="G85" s="72">
        <v>1</v>
      </c>
      <c r="H85" s="72"/>
      <c r="I85" s="19"/>
      <c r="J85" s="39">
        <v>44302</v>
      </c>
      <c r="K85" s="40">
        <v>32</v>
      </c>
      <c r="L85" s="72">
        <v>1</v>
      </c>
      <c r="M85" s="72">
        <v>0</v>
      </c>
      <c r="N85" s="72">
        <v>0</v>
      </c>
      <c r="O85" s="19" t="s">
        <v>115</v>
      </c>
      <c r="P85" s="41"/>
      <c r="Q85" s="60"/>
    </row>
    <row r="86" spans="2:17" ht="36" x14ac:dyDescent="0.15">
      <c r="B86" s="156"/>
      <c r="C86" s="163"/>
      <c r="D86" s="197"/>
      <c r="E86" s="19" t="s">
        <v>116</v>
      </c>
      <c r="F86" s="19" t="s">
        <v>108</v>
      </c>
      <c r="G86" s="72">
        <v>1</v>
      </c>
      <c r="H86" s="72"/>
      <c r="I86" s="19"/>
      <c r="J86" s="39">
        <v>44302</v>
      </c>
      <c r="K86" s="40">
        <v>32</v>
      </c>
      <c r="L86" s="72">
        <v>1</v>
      </c>
      <c r="M86" s="72">
        <v>0</v>
      </c>
      <c r="N86" s="72">
        <v>0</v>
      </c>
      <c r="O86" s="19" t="s">
        <v>117</v>
      </c>
      <c r="P86" s="41"/>
      <c r="Q86" s="60"/>
    </row>
    <row r="87" spans="2:17" ht="24" x14ac:dyDescent="0.15">
      <c r="B87" s="156"/>
      <c r="C87" s="163"/>
      <c r="D87" s="197"/>
      <c r="E87" s="19" t="s">
        <v>118</v>
      </c>
      <c r="F87" s="19" t="s">
        <v>53</v>
      </c>
      <c r="G87" s="20">
        <v>1</v>
      </c>
      <c r="H87" s="20"/>
      <c r="I87" s="19"/>
      <c r="J87" s="39">
        <v>44307</v>
      </c>
      <c r="K87" s="40">
        <v>160</v>
      </c>
      <c r="L87" s="20">
        <v>1</v>
      </c>
      <c r="M87" s="20">
        <v>0</v>
      </c>
      <c r="N87" s="20">
        <v>0</v>
      </c>
      <c r="O87" s="19" t="s">
        <v>51</v>
      </c>
      <c r="P87" s="49"/>
      <c r="Q87" s="62"/>
    </row>
    <row r="88" spans="2:17" x14ac:dyDescent="0.15">
      <c r="B88" s="156"/>
      <c r="C88" s="163"/>
      <c r="D88" s="197"/>
      <c r="E88" s="19" t="s">
        <v>119</v>
      </c>
      <c r="F88" s="19" t="s">
        <v>120</v>
      </c>
      <c r="G88" s="72">
        <v>1</v>
      </c>
      <c r="H88" s="72"/>
      <c r="I88" s="19"/>
      <c r="J88" s="39">
        <v>44301</v>
      </c>
      <c r="K88" s="40">
        <v>8</v>
      </c>
      <c r="L88" s="72">
        <v>1</v>
      </c>
      <c r="M88" s="72">
        <v>0</v>
      </c>
      <c r="N88" s="72">
        <v>0</v>
      </c>
      <c r="O88" s="19" t="s">
        <v>121</v>
      </c>
      <c r="P88" s="41"/>
      <c r="Q88" s="60"/>
    </row>
    <row r="89" spans="2:17" x14ac:dyDescent="0.15">
      <c r="B89" s="156"/>
      <c r="C89" s="163"/>
      <c r="D89" s="197"/>
      <c r="E89" s="19" t="s">
        <v>122</v>
      </c>
      <c r="F89" s="19" t="s">
        <v>34</v>
      </c>
      <c r="G89" s="72">
        <v>1</v>
      </c>
      <c r="H89" s="72"/>
      <c r="I89" s="19"/>
      <c r="J89" s="39">
        <v>44313</v>
      </c>
      <c r="K89" s="40">
        <v>96</v>
      </c>
      <c r="L89" s="72">
        <v>1</v>
      </c>
      <c r="M89" s="72">
        <v>0</v>
      </c>
      <c r="N89" s="72">
        <v>0</v>
      </c>
      <c r="O89" s="19" t="s">
        <v>112</v>
      </c>
      <c r="P89" s="41"/>
      <c r="Q89" s="60"/>
    </row>
    <row r="90" spans="2:17" x14ac:dyDescent="0.15">
      <c r="B90" s="156"/>
      <c r="C90" s="163"/>
      <c r="D90" s="197"/>
      <c r="E90" s="19" t="s">
        <v>123</v>
      </c>
      <c r="F90" s="19" t="s">
        <v>99</v>
      </c>
      <c r="G90" s="72">
        <v>1</v>
      </c>
      <c r="H90" s="72"/>
      <c r="I90" s="19"/>
      <c r="J90" s="39">
        <v>44305</v>
      </c>
      <c r="K90" s="40">
        <v>8</v>
      </c>
      <c r="L90" s="72">
        <v>1</v>
      </c>
      <c r="M90" s="72">
        <v>0</v>
      </c>
      <c r="N90" s="72">
        <v>0</v>
      </c>
      <c r="O90" s="19"/>
      <c r="P90" s="41"/>
      <c r="Q90" s="60"/>
    </row>
    <row r="91" spans="2:17" ht="24" x14ac:dyDescent="0.15">
      <c r="B91" s="156"/>
      <c r="C91" s="163"/>
      <c r="D91" s="197"/>
      <c r="E91" s="19" t="s">
        <v>124</v>
      </c>
      <c r="F91" s="79" t="s">
        <v>32</v>
      </c>
      <c r="G91" s="80">
        <v>1</v>
      </c>
      <c r="H91" s="80"/>
      <c r="I91" s="21">
        <v>27961</v>
      </c>
      <c r="J91" s="50">
        <v>44334</v>
      </c>
      <c r="K91" s="51">
        <v>64</v>
      </c>
      <c r="L91" s="80">
        <v>0</v>
      </c>
      <c r="M91" s="80">
        <v>1</v>
      </c>
      <c r="N91" s="80">
        <v>0</v>
      </c>
      <c r="O91" s="19" t="s">
        <v>51</v>
      </c>
      <c r="P91" s="45"/>
      <c r="Q91" s="60"/>
    </row>
    <row r="92" spans="2:17" x14ac:dyDescent="0.15">
      <c r="B92" s="156"/>
      <c r="C92" s="163"/>
      <c r="D92" s="198"/>
      <c r="E92" s="19" t="s">
        <v>125</v>
      </c>
      <c r="F92" s="79" t="s">
        <v>80</v>
      </c>
      <c r="G92" s="80">
        <v>1</v>
      </c>
      <c r="H92" s="80"/>
      <c r="I92" s="21">
        <v>28053</v>
      </c>
      <c r="J92" s="50"/>
      <c r="K92" s="51">
        <v>40</v>
      </c>
      <c r="L92" s="80">
        <v>0</v>
      </c>
      <c r="M92" s="80">
        <v>1</v>
      </c>
      <c r="N92" s="80">
        <v>0</v>
      </c>
      <c r="O92" s="21" t="s">
        <v>112</v>
      </c>
      <c r="P92" s="45"/>
      <c r="Q92" s="60"/>
    </row>
    <row r="93" spans="2:17" ht="24" x14ac:dyDescent="0.15">
      <c r="B93" s="156"/>
      <c r="C93" s="163"/>
      <c r="D93" s="176" t="s">
        <v>75</v>
      </c>
      <c r="E93" s="19" t="s">
        <v>126</v>
      </c>
      <c r="F93" s="19" t="s">
        <v>111</v>
      </c>
      <c r="G93" s="72">
        <v>1</v>
      </c>
      <c r="H93" s="72"/>
      <c r="I93" s="19"/>
      <c r="J93" s="39">
        <v>44305</v>
      </c>
      <c r="K93" s="40">
        <v>40</v>
      </c>
      <c r="L93" s="72">
        <v>0.2</v>
      </c>
      <c r="M93" s="72">
        <v>0.8</v>
      </c>
      <c r="N93" s="72">
        <v>0</v>
      </c>
      <c r="O93" s="19" t="s">
        <v>112</v>
      </c>
      <c r="P93" s="49"/>
      <c r="Q93" s="62"/>
    </row>
    <row r="94" spans="2:17" x14ac:dyDescent="0.15">
      <c r="B94" s="156"/>
      <c r="C94" s="163"/>
      <c r="D94" s="176"/>
      <c r="E94" s="19" t="s">
        <v>127</v>
      </c>
      <c r="F94" s="19" t="s">
        <v>32</v>
      </c>
      <c r="G94" s="72">
        <v>1</v>
      </c>
      <c r="H94" s="72"/>
      <c r="I94" s="19">
        <v>27912</v>
      </c>
      <c r="J94" s="39">
        <v>44326</v>
      </c>
      <c r="K94" s="40">
        <v>70</v>
      </c>
      <c r="L94" s="72">
        <v>0.2</v>
      </c>
      <c r="M94" s="72">
        <v>0.8</v>
      </c>
      <c r="N94" s="72">
        <v>0</v>
      </c>
      <c r="O94" s="19" t="s">
        <v>112</v>
      </c>
      <c r="P94" s="41"/>
      <c r="Q94" s="60"/>
    </row>
    <row r="95" spans="2:17" ht="24" x14ac:dyDescent="0.15">
      <c r="B95" s="156"/>
      <c r="C95" s="163"/>
      <c r="D95" s="176"/>
      <c r="E95" s="19" t="s">
        <v>128</v>
      </c>
      <c r="F95" s="19" t="s">
        <v>32</v>
      </c>
      <c r="G95" s="72">
        <v>1</v>
      </c>
      <c r="H95" s="72"/>
      <c r="I95" s="19">
        <v>27945</v>
      </c>
      <c r="J95" s="39">
        <v>44326</v>
      </c>
      <c r="K95" s="40">
        <v>24</v>
      </c>
      <c r="L95" s="72">
        <v>0</v>
      </c>
      <c r="M95" s="72">
        <v>1</v>
      </c>
      <c r="N95" s="72">
        <v>0</v>
      </c>
      <c r="O95" s="19" t="s">
        <v>51</v>
      </c>
      <c r="P95" s="41"/>
      <c r="Q95" s="60"/>
    </row>
    <row r="96" spans="2:17" x14ac:dyDescent="0.15">
      <c r="B96" s="156"/>
      <c r="C96" s="163"/>
      <c r="D96" s="176"/>
      <c r="E96" s="22" t="s">
        <v>129</v>
      </c>
      <c r="F96" s="22" t="s">
        <v>32</v>
      </c>
      <c r="G96" s="81"/>
      <c r="H96" s="81"/>
      <c r="I96" s="22">
        <v>27944</v>
      </c>
      <c r="J96" s="55">
        <v>44329</v>
      </c>
      <c r="K96" s="48">
        <v>40</v>
      </c>
      <c r="L96" s="84">
        <v>0</v>
      </c>
      <c r="M96" s="84">
        <v>0.6</v>
      </c>
      <c r="N96" s="84">
        <v>0.4</v>
      </c>
      <c r="O96" s="22"/>
      <c r="P96" s="49"/>
      <c r="Q96" s="62"/>
    </row>
    <row r="97" spans="2:17" x14ac:dyDescent="0.15">
      <c r="B97" s="156"/>
      <c r="C97" s="163"/>
      <c r="D97" s="176"/>
      <c r="E97" s="22" t="s">
        <v>130</v>
      </c>
      <c r="F97" s="22" t="s">
        <v>32</v>
      </c>
      <c r="G97" s="81"/>
      <c r="H97" s="81"/>
      <c r="I97" s="22"/>
      <c r="J97" s="55">
        <v>44329</v>
      </c>
      <c r="K97" s="48">
        <v>32</v>
      </c>
      <c r="L97" s="84">
        <v>0</v>
      </c>
      <c r="M97" s="84">
        <v>0</v>
      </c>
      <c r="N97" s="84">
        <v>1</v>
      </c>
      <c r="O97" s="22"/>
      <c r="P97" s="49"/>
      <c r="Q97" s="62"/>
    </row>
    <row r="98" spans="2:17" x14ac:dyDescent="0.15">
      <c r="B98" s="156"/>
      <c r="C98" s="163"/>
      <c r="D98" s="22" t="s">
        <v>83</v>
      </c>
      <c r="E98" s="22" t="s">
        <v>131</v>
      </c>
      <c r="F98" s="22" t="s">
        <v>32</v>
      </c>
      <c r="G98" s="81"/>
      <c r="H98" s="81"/>
      <c r="I98" s="22"/>
      <c r="J98" s="55">
        <v>44309</v>
      </c>
      <c r="K98" s="48">
        <v>250</v>
      </c>
      <c r="L98" s="81">
        <v>0.2</v>
      </c>
      <c r="M98" s="81">
        <v>0.6</v>
      </c>
      <c r="N98" s="81">
        <v>0.2</v>
      </c>
      <c r="O98" s="22"/>
      <c r="P98" s="49"/>
      <c r="Q98" s="62"/>
    </row>
    <row r="99" spans="2:17" customFormat="1" x14ac:dyDescent="0.15">
      <c r="B99" s="156"/>
      <c r="C99" s="163"/>
      <c r="D99" s="199" t="s">
        <v>132</v>
      </c>
      <c r="E99" s="19" t="s">
        <v>133</v>
      </c>
      <c r="F99" s="19" t="s">
        <v>99</v>
      </c>
      <c r="G99" s="72">
        <v>1</v>
      </c>
      <c r="H99" s="72"/>
      <c r="I99" s="19"/>
      <c r="J99" s="39">
        <v>44306</v>
      </c>
      <c r="K99" s="40">
        <v>18</v>
      </c>
      <c r="L99" s="72">
        <v>1</v>
      </c>
      <c r="M99" s="72">
        <v>0</v>
      </c>
      <c r="N99" s="72">
        <v>0</v>
      </c>
      <c r="O99" s="19" t="s">
        <v>112</v>
      </c>
      <c r="P99" s="49"/>
      <c r="Q99" s="62"/>
    </row>
    <row r="100" spans="2:17" customFormat="1" x14ac:dyDescent="0.15">
      <c r="B100" s="156"/>
      <c r="C100" s="163"/>
      <c r="D100" s="200"/>
      <c r="E100" s="19" t="s">
        <v>134</v>
      </c>
      <c r="F100" s="79" t="s">
        <v>108</v>
      </c>
      <c r="G100" s="72">
        <v>1</v>
      </c>
      <c r="H100" s="72"/>
      <c r="I100" s="19">
        <v>27962</v>
      </c>
      <c r="J100" s="50">
        <v>44323</v>
      </c>
      <c r="K100" s="40">
        <v>24</v>
      </c>
      <c r="L100" s="72">
        <v>0</v>
      </c>
      <c r="M100" s="72">
        <v>1</v>
      </c>
      <c r="N100" s="72">
        <v>0</v>
      </c>
      <c r="O100" s="19"/>
      <c r="P100" s="41"/>
      <c r="Q100" s="60"/>
    </row>
    <row r="101" spans="2:17" customFormat="1" x14ac:dyDescent="0.15">
      <c r="B101" s="156"/>
      <c r="C101" s="163"/>
      <c r="D101" s="82"/>
      <c r="E101" s="22" t="s">
        <v>135</v>
      </c>
      <c r="F101" s="83" t="s">
        <v>80</v>
      </c>
      <c r="G101" s="84"/>
      <c r="H101" s="84"/>
      <c r="I101" s="28">
        <v>28146</v>
      </c>
      <c r="J101" s="104"/>
      <c r="K101" s="56">
        <v>52</v>
      </c>
      <c r="L101" s="84">
        <v>0</v>
      </c>
      <c r="M101" s="84">
        <v>0.75</v>
      </c>
      <c r="N101" s="84">
        <v>0.25</v>
      </c>
      <c r="O101" s="28"/>
      <c r="P101" s="57"/>
      <c r="Q101" s="65"/>
    </row>
    <row r="102" spans="2:17" customFormat="1" x14ac:dyDescent="0.15">
      <c r="B102" s="156"/>
      <c r="C102" s="163"/>
      <c r="D102" s="19" t="s">
        <v>136</v>
      </c>
      <c r="E102" s="19" t="s">
        <v>137</v>
      </c>
      <c r="F102" s="19" t="s">
        <v>138</v>
      </c>
      <c r="G102" s="72">
        <v>1</v>
      </c>
      <c r="H102" s="72"/>
      <c r="I102" s="19">
        <v>27899</v>
      </c>
      <c r="J102" s="39">
        <v>44313</v>
      </c>
      <c r="K102" s="40">
        <v>24</v>
      </c>
      <c r="L102" s="72">
        <v>1</v>
      </c>
      <c r="M102" s="72">
        <v>0</v>
      </c>
      <c r="N102" s="72">
        <v>0</v>
      </c>
      <c r="O102" s="19" t="s">
        <v>112</v>
      </c>
      <c r="P102" s="41"/>
      <c r="Q102" s="60"/>
    </row>
    <row r="103" spans="2:17" s="6" customFormat="1" ht="24" x14ac:dyDescent="0.15">
      <c r="B103" s="161"/>
      <c r="C103" s="178"/>
      <c r="D103" s="19" t="s">
        <v>139</v>
      </c>
      <c r="E103" s="19" t="s">
        <v>140</v>
      </c>
      <c r="F103" s="19" t="s">
        <v>80</v>
      </c>
      <c r="G103" s="72">
        <v>1</v>
      </c>
      <c r="H103" s="72"/>
      <c r="I103" s="19">
        <v>28236</v>
      </c>
      <c r="J103" s="39">
        <v>44330</v>
      </c>
      <c r="K103" s="40">
        <v>48</v>
      </c>
      <c r="L103" s="72">
        <v>0</v>
      </c>
      <c r="M103" s="72">
        <v>1</v>
      </c>
      <c r="N103" s="72">
        <v>0</v>
      </c>
      <c r="O103" s="19" t="s">
        <v>51</v>
      </c>
      <c r="P103" s="41"/>
      <c r="Q103" s="60"/>
    </row>
    <row r="104" spans="2:17" s="6" customFormat="1" x14ac:dyDescent="0.15">
      <c r="B104" s="161"/>
      <c r="C104" s="178"/>
      <c r="D104" s="85" t="s">
        <v>136</v>
      </c>
      <c r="E104" s="86" t="s">
        <v>141</v>
      </c>
      <c r="F104" s="86" t="s">
        <v>120</v>
      </c>
      <c r="G104" s="87"/>
      <c r="H104" s="87"/>
      <c r="I104" s="86"/>
      <c r="J104" s="105"/>
      <c r="K104" s="106">
        <v>40</v>
      </c>
      <c r="L104" s="107">
        <v>0</v>
      </c>
      <c r="M104" s="107">
        <v>1</v>
      </c>
      <c r="N104" s="107">
        <v>0</v>
      </c>
      <c r="O104" s="86"/>
      <c r="P104" s="108"/>
      <c r="Q104" s="118"/>
    </row>
    <row r="105" spans="2:17" s="6" customFormat="1" x14ac:dyDescent="0.15">
      <c r="B105" s="161"/>
      <c r="C105" s="178"/>
      <c r="D105" s="85" t="s">
        <v>83</v>
      </c>
      <c r="E105" s="86" t="s">
        <v>142</v>
      </c>
      <c r="F105" s="88" t="s">
        <v>80</v>
      </c>
      <c r="G105" s="87"/>
      <c r="H105" s="87"/>
      <c r="I105" s="86"/>
      <c r="J105" s="105"/>
      <c r="K105" s="106">
        <v>48</v>
      </c>
      <c r="L105" s="107">
        <v>0</v>
      </c>
      <c r="M105" s="107">
        <v>0.2</v>
      </c>
      <c r="N105" s="107">
        <v>0.8</v>
      </c>
      <c r="O105" s="86"/>
      <c r="P105" s="108"/>
      <c r="Q105" s="118"/>
    </row>
    <row r="106" spans="2:17" s="7" customFormat="1" x14ac:dyDescent="0.15">
      <c r="B106" s="156"/>
      <c r="C106" s="163"/>
      <c r="D106" s="201" t="s">
        <v>143</v>
      </c>
      <c r="E106" s="89" t="s">
        <v>144</v>
      </c>
      <c r="F106" s="89"/>
      <c r="G106" s="90"/>
      <c r="H106" s="90"/>
      <c r="I106" s="89"/>
      <c r="J106" s="109">
        <v>44344</v>
      </c>
      <c r="K106" s="110">
        <v>8</v>
      </c>
      <c r="L106" s="111">
        <v>0</v>
      </c>
      <c r="M106" s="111">
        <v>0</v>
      </c>
      <c r="N106" s="111">
        <v>0</v>
      </c>
      <c r="O106" s="89"/>
      <c r="P106" s="112"/>
      <c r="Q106" s="119"/>
    </row>
    <row r="107" spans="2:17" s="7" customFormat="1" x14ac:dyDescent="0.15">
      <c r="B107" s="156"/>
      <c r="C107" s="163"/>
      <c r="D107" s="202"/>
      <c r="E107" s="89" t="s">
        <v>145</v>
      </c>
      <c r="F107" s="89"/>
      <c r="G107" s="90"/>
      <c r="H107" s="90"/>
      <c r="I107" s="89"/>
      <c r="J107" s="109">
        <v>44344</v>
      </c>
      <c r="K107" s="110">
        <v>40</v>
      </c>
      <c r="L107" s="111">
        <v>0</v>
      </c>
      <c r="M107" s="111">
        <v>0</v>
      </c>
      <c r="N107" s="111">
        <v>0</v>
      </c>
      <c r="O107" s="89"/>
      <c r="P107" s="112"/>
      <c r="Q107" s="119"/>
    </row>
    <row r="108" spans="2:17" s="7" customFormat="1" x14ac:dyDescent="0.15">
      <c r="B108" s="156"/>
      <c r="C108" s="163"/>
      <c r="D108" s="202"/>
      <c r="E108" s="89" t="s">
        <v>146</v>
      </c>
      <c r="F108" s="89"/>
      <c r="G108" s="90"/>
      <c r="H108" s="90"/>
      <c r="I108" s="89"/>
      <c r="J108" s="109">
        <v>44344</v>
      </c>
      <c r="K108" s="110"/>
      <c r="L108" s="111">
        <v>0</v>
      </c>
      <c r="M108" s="111">
        <v>0</v>
      </c>
      <c r="N108" s="111">
        <v>0</v>
      </c>
      <c r="O108" s="89"/>
      <c r="P108" s="112"/>
      <c r="Q108" s="119"/>
    </row>
    <row r="109" spans="2:17" s="7" customFormat="1" x14ac:dyDescent="0.15">
      <c r="B109" s="156"/>
      <c r="C109" s="163"/>
      <c r="D109" s="202"/>
      <c r="E109" s="89" t="s">
        <v>147</v>
      </c>
      <c r="F109" s="89"/>
      <c r="G109" s="90"/>
      <c r="H109" s="90"/>
      <c r="I109" s="89"/>
      <c r="J109" s="109">
        <v>44344</v>
      </c>
      <c r="K109" s="110">
        <v>56</v>
      </c>
      <c r="L109" s="111">
        <v>0</v>
      </c>
      <c r="M109" s="111">
        <v>0</v>
      </c>
      <c r="N109" s="111">
        <v>0</v>
      </c>
      <c r="O109" s="89"/>
      <c r="P109" s="112"/>
      <c r="Q109" s="119"/>
    </row>
    <row r="110" spans="2:17" s="7" customFormat="1" x14ac:dyDescent="0.15">
      <c r="B110" s="156"/>
      <c r="C110" s="163"/>
      <c r="D110" s="202"/>
      <c r="E110" s="89" t="s">
        <v>148</v>
      </c>
      <c r="F110" s="89"/>
      <c r="G110" s="90"/>
      <c r="H110" s="90"/>
      <c r="I110" s="89"/>
      <c r="J110" s="109">
        <v>44344</v>
      </c>
      <c r="K110" s="110">
        <v>48</v>
      </c>
      <c r="L110" s="111">
        <v>0</v>
      </c>
      <c r="M110" s="111">
        <v>0</v>
      </c>
      <c r="N110" s="111">
        <v>0</v>
      </c>
      <c r="O110" s="89"/>
      <c r="P110" s="112"/>
      <c r="Q110" s="119"/>
    </row>
    <row r="111" spans="2:17" s="7" customFormat="1" x14ac:dyDescent="0.15">
      <c r="B111" s="156"/>
      <c r="C111" s="163"/>
      <c r="D111" s="202"/>
      <c r="E111" s="89" t="s">
        <v>149</v>
      </c>
      <c r="F111" s="89"/>
      <c r="G111" s="90"/>
      <c r="H111" s="90"/>
      <c r="I111" s="89"/>
      <c r="J111" s="109">
        <v>44344</v>
      </c>
      <c r="K111" s="110">
        <v>40</v>
      </c>
      <c r="L111" s="111">
        <v>0</v>
      </c>
      <c r="M111" s="111">
        <v>0</v>
      </c>
      <c r="N111" s="111">
        <v>0</v>
      </c>
      <c r="O111" s="89"/>
      <c r="P111" s="112"/>
      <c r="Q111" s="119"/>
    </row>
    <row r="112" spans="2:17" s="7" customFormat="1" x14ac:dyDescent="0.15">
      <c r="B112" s="156"/>
      <c r="C112" s="163"/>
      <c r="D112" s="202"/>
      <c r="E112" s="89" t="s">
        <v>150</v>
      </c>
      <c r="F112" s="89"/>
      <c r="G112" s="90"/>
      <c r="H112" s="90"/>
      <c r="I112" s="89"/>
      <c r="J112" s="109">
        <v>44344</v>
      </c>
      <c r="K112" s="110">
        <v>40</v>
      </c>
      <c r="L112" s="111">
        <v>0</v>
      </c>
      <c r="M112" s="111">
        <v>0</v>
      </c>
      <c r="N112" s="111">
        <v>0</v>
      </c>
      <c r="O112" s="89"/>
      <c r="P112" s="112"/>
      <c r="Q112" s="119"/>
    </row>
    <row r="113" spans="2:17" s="7" customFormat="1" x14ac:dyDescent="0.15">
      <c r="B113" s="156"/>
      <c r="C113" s="163"/>
      <c r="D113" s="202"/>
      <c r="E113" s="89" t="s">
        <v>151</v>
      </c>
      <c r="F113" s="89"/>
      <c r="G113" s="90"/>
      <c r="H113" s="90"/>
      <c r="I113" s="89"/>
      <c r="J113" s="109">
        <v>44344</v>
      </c>
      <c r="K113" s="110">
        <v>56</v>
      </c>
      <c r="L113" s="111">
        <v>0</v>
      </c>
      <c r="M113" s="111">
        <v>0</v>
      </c>
      <c r="N113" s="111">
        <v>0</v>
      </c>
      <c r="O113" s="89"/>
      <c r="P113" s="112"/>
      <c r="Q113" s="119"/>
    </row>
    <row r="114" spans="2:17" s="7" customFormat="1" x14ac:dyDescent="0.15">
      <c r="B114" s="156"/>
      <c r="C114" s="163"/>
      <c r="D114" s="202"/>
      <c r="E114" s="89" t="s">
        <v>152</v>
      </c>
      <c r="F114" s="89"/>
      <c r="G114" s="90"/>
      <c r="H114" s="90"/>
      <c r="I114" s="89"/>
      <c r="J114" s="109">
        <v>44366</v>
      </c>
      <c r="K114" s="110"/>
      <c r="L114" s="111">
        <v>0</v>
      </c>
      <c r="M114" s="111">
        <v>0</v>
      </c>
      <c r="N114" s="111">
        <v>0</v>
      </c>
      <c r="O114" s="89"/>
      <c r="P114" s="112"/>
      <c r="Q114" s="119"/>
    </row>
    <row r="115" spans="2:17" s="7" customFormat="1" x14ac:dyDescent="0.15">
      <c r="B115" s="156"/>
      <c r="C115" s="163"/>
      <c r="D115" s="203"/>
      <c r="E115" s="89" t="s">
        <v>153</v>
      </c>
      <c r="F115" s="89"/>
      <c r="G115" s="90"/>
      <c r="H115" s="90"/>
      <c r="I115" s="89"/>
      <c r="J115" s="109">
        <v>44366</v>
      </c>
      <c r="K115" s="110">
        <v>40</v>
      </c>
      <c r="L115" s="111">
        <v>0</v>
      </c>
      <c r="M115" s="111">
        <v>0</v>
      </c>
      <c r="N115" s="111">
        <v>0</v>
      </c>
      <c r="O115" s="89"/>
      <c r="P115" s="112"/>
      <c r="Q115" s="119"/>
    </row>
    <row r="116" spans="2:17" s="7" customFormat="1" x14ac:dyDescent="0.15">
      <c r="B116" s="156"/>
      <c r="C116" s="163"/>
      <c r="D116" s="201" t="s">
        <v>154</v>
      </c>
      <c r="E116" s="89" t="s">
        <v>144</v>
      </c>
      <c r="F116" s="89"/>
      <c r="G116" s="90"/>
      <c r="H116" s="90"/>
      <c r="I116" s="89"/>
      <c r="J116" s="109">
        <v>44330</v>
      </c>
      <c r="K116" s="110">
        <v>8</v>
      </c>
      <c r="L116" s="111">
        <v>0</v>
      </c>
      <c r="M116" s="111">
        <v>0</v>
      </c>
      <c r="N116" s="111">
        <v>0</v>
      </c>
      <c r="O116" s="89"/>
      <c r="P116" s="112"/>
      <c r="Q116" s="119"/>
    </row>
    <row r="117" spans="2:17" s="7" customFormat="1" x14ac:dyDescent="0.15">
      <c r="B117" s="156"/>
      <c r="C117" s="163"/>
      <c r="D117" s="202"/>
      <c r="E117" s="89" t="s">
        <v>145</v>
      </c>
      <c r="F117" s="89"/>
      <c r="G117" s="90"/>
      <c r="H117" s="90"/>
      <c r="I117" s="89"/>
      <c r="J117" s="109">
        <v>44330</v>
      </c>
      <c r="K117" s="110">
        <v>40</v>
      </c>
      <c r="L117" s="111">
        <v>0</v>
      </c>
      <c r="M117" s="111">
        <v>0</v>
      </c>
      <c r="N117" s="111">
        <v>0</v>
      </c>
      <c r="O117" s="89"/>
      <c r="P117" s="112"/>
      <c r="Q117" s="119"/>
    </row>
    <row r="118" spans="2:17" s="7" customFormat="1" x14ac:dyDescent="0.15">
      <c r="B118" s="156"/>
      <c r="C118" s="163"/>
      <c r="D118" s="202"/>
      <c r="E118" s="89" t="s">
        <v>146</v>
      </c>
      <c r="F118" s="89"/>
      <c r="G118" s="90"/>
      <c r="H118" s="90"/>
      <c r="I118" s="89"/>
      <c r="J118" s="109">
        <v>44330</v>
      </c>
      <c r="K118" s="110"/>
      <c r="L118" s="111">
        <v>0</v>
      </c>
      <c r="M118" s="111">
        <v>0</v>
      </c>
      <c r="N118" s="111">
        <v>0</v>
      </c>
      <c r="O118" s="89"/>
      <c r="P118" s="112"/>
      <c r="Q118" s="119"/>
    </row>
    <row r="119" spans="2:17" s="7" customFormat="1" x14ac:dyDescent="0.15">
      <c r="B119" s="156"/>
      <c r="C119" s="163"/>
      <c r="D119" s="202"/>
      <c r="E119" s="89" t="s">
        <v>147</v>
      </c>
      <c r="F119" s="89"/>
      <c r="G119" s="90"/>
      <c r="H119" s="90"/>
      <c r="I119" s="89"/>
      <c r="J119" s="109">
        <v>44330</v>
      </c>
      <c r="K119" s="110">
        <v>56</v>
      </c>
      <c r="L119" s="111">
        <v>0</v>
      </c>
      <c r="M119" s="111">
        <v>0</v>
      </c>
      <c r="N119" s="111">
        <v>0</v>
      </c>
      <c r="O119" s="89"/>
      <c r="P119" s="112"/>
      <c r="Q119" s="119"/>
    </row>
    <row r="120" spans="2:17" s="7" customFormat="1" x14ac:dyDescent="0.15">
      <c r="B120" s="156"/>
      <c r="C120" s="163"/>
      <c r="D120" s="202"/>
      <c r="E120" s="89" t="s">
        <v>148</v>
      </c>
      <c r="F120" s="89"/>
      <c r="G120" s="90"/>
      <c r="H120" s="90"/>
      <c r="I120" s="89"/>
      <c r="J120" s="109">
        <v>44330</v>
      </c>
      <c r="K120" s="110">
        <v>48</v>
      </c>
      <c r="L120" s="111">
        <v>0</v>
      </c>
      <c r="M120" s="111">
        <v>0</v>
      </c>
      <c r="N120" s="111">
        <v>0</v>
      </c>
      <c r="O120" s="89"/>
      <c r="P120" s="112"/>
      <c r="Q120" s="119"/>
    </row>
    <row r="121" spans="2:17" s="7" customFormat="1" ht="24" x14ac:dyDescent="0.15">
      <c r="B121" s="156"/>
      <c r="C121" s="163"/>
      <c r="D121" s="202"/>
      <c r="E121" s="89" t="s">
        <v>155</v>
      </c>
      <c r="F121" s="89"/>
      <c r="G121" s="90"/>
      <c r="H121" s="90"/>
      <c r="I121" s="89"/>
      <c r="J121" s="109">
        <v>44330</v>
      </c>
      <c r="K121" s="110">
        <v>40</v>
      </c>
      <c r="L121" s="111">
        <v>0</v>
      </c>
      <c r="M121" s="111">
        <v>0</v>
      </c>
      <c r="N121" s="111">
        <v>0</v>
      </c>
      <c r="O121" s="89"/>
      <c r="P121" s="112"/>
      <c r="Q121" s="119"/>
    </row>
    <row r="122" spans="2:17" s="7" customFormat="1" ht="24" x14ac:dyDescent="0.15">
      <c r="B122" s="156"/>
      <c r="C122" s="163"/>
      <c r="D122" s="202"/>
      <c r="E122" s="89" t="s">
        <v>156</v>
      </c>
      <c r="F122" s="89"/>
      <c r="G122" s="90"/>
      <c r="H122" s="90"/>
      <c r="I122" s="89"/>
      <c r="J122" s="109">
        <v>44330</v>
      </c>
      <c r="K122" s="110">
        <v>40</v>
      </c>
      <c r="L122" s="111">
        <v>0</v>
      </c>
      <c r="M122" s="111">
        <v>0</v>
      </c>
      <c r="N122" s="111">
        <v>0</v>
      </c>
      <c r="O122" s="89"/>
      <c r="P122" s="112"/>
      <c r="Q122" s="119"/>
    </row>
    <row r="123" spans="2:17" s="7" customFormat="1" x14ac:dyDescent="0.15">
      <c r="B123" s="156"/>
      <c r="C123" s="163"/>
      <c r="D123" s="202"/>
      <c r="E123" s="89" t="s">
        <v>151</v>
      </c>
      <c r="F123" s="89"/>
      <c r="G123" s="90"/>
      <c r="H123" s="90"/>
      <c r="I123" s="89"/>
      <c r="J123" s="109">
        <v>44330</v>
      </c>
      <c r="K123" s="110">
        <v>56</v>
      </c>
      <c r="L123" s="111">
        <v>0</v>
      </c>
      <c r="M123" s="111">
        <v>0</v>
      </c>
      <c r="N123" s="111">
        <v>0</v>
      </c>
      <c r="O123" s="89"/>
      <c r="P123" s="112"/>
      <c r="Q123" s="119"/>
    </row>
    <row r="124" spans="2:17" s="7" customFormat="1" x14ac:dyDescent="0.15">
      <c r="B124" s="156"/>
      <c r="C124" s="163"/>
      <c r="D124" s="201" t="s">
        <v>157</v>
      </c>
      <c r="E124" s="89" t="s">
        <v>144</v>
      </c>
      <c r="F124" s="89"/>
      <c r="G124" s="90"/>
      <c r="H124" s="90"/>
      <c r="I124" s="89"/>
      <c r="J124" s="109">
        <v>44351</v>
      </c>
      <c r="K124" s="110">
        <v>8</v>
      </c>
      <c r="L124" s="111">
        <v>0</v>
      </c>
      <c r="M124" s="111">
        <v>0</v>
      </c>
      <c r="N124" s="111">
        <v>0</v>
      </c>
      <c r="O124" s="89"/>
      <c r="P124" s="112"/>
      <c r="Q124" s="119"/>
    </row>
    <row r="125" spans="2:17" s="7" customFormat="1" x14ac:dyDescent="0.15">
      <c r="B125" s="156"/>
      <c r="C125" s="163"/>
      <c r="D125" s="202"/>
      <c r="E125" s="89" t="s">
        <v>145</v>
      </c>
      <c r="F125" s="89"/>
      <c r="G125" s="90"/>
      <c r="H125" s="90"/>
      <c r="I125" s="89"/>
      <c r="J125" s="109">
        <v>44351</v>
      </c>
      <c r="K125" s="110">
        <v>40</v>
      </c>
      <c r="L125" s="111">
        <v>0</v>
      </c>
      <c r="M125" s="111">
        <v>0</v>
      </c>
      <c r="N125" s="111">
        <v>0</v>
      </c>
      <c r="O125" s="89"/>
      <c r="P125" s="112"/>
      <c r="Q125" s="119"/>
    </row>
    <row r="126" spans="2:17" s="7" customFormat="1" x14ac:dyDescent="0.15">
      <c r="B126" s="156"/>
      <c r="C126" s="163"/>
      <c r="D126" s="202"/>
      <c r="E126" s="89" t="s">
        <v>146</v>
      </c>
      <c r="F126" s="89"/>
      <c r="G126" s="90"/>
      <c r="H126" s="90"/>
      <c r="I126" s="89"/>
      <c r="J126" s="109">
        <v>44351</v>
      </c>
      <c r="K126" s="110"/>
      <c r="L126" s="111">
        <v>0</v>
      </c>
      <c r="M126" s="111">
        <v>0</v>
      </c>
      <c r="N126" s="111">
        <v>0</v>
      </c>
      <c r="O126" s="89"/>
      <c r="P126" s="112"/>
      <c r="Q126" s="119"/>
    </row>
    <row r="127" spans="2:17" s="7" customFormat="1" x14ac:dyDescent="0.15">
      <c r="B127" s="156"/>
      <c r="C127" s="163"/>
      <c r="D127" s="202"/>
      <c r="E127" s="89" t="s">
        <v>147</v>
      </c>
      <c r="F127" s="89"/>
      <c r="G127" s="90"/>
      <c r="H127" s="90"/>
      <c r="I127" s="89"/>
      <c r="J127" s="109">
        <v>44351</v>
      </c>
      <c r="K127" s="110">
        <v>56</v>
      </c>
      <c r="L127" s="111">
        <v>0</v>
      </c>
      <c r="M127" s="111">
        <v>0</v>
      </c>
      <c r="N127" s="111">
        <v>0</v>
      </c>
      <c r="O127" s="89"/>
      <c r="P127" s="112"/>
      <c r="Q127" s="119"/>
    </row>
    <row r="128" spans="2:17" s="7" customFormat="1" x14ac:dyDescent="0.15">
      <c r="B128" s="156"/>
      <c r="C128" s="163"/>
      <c r="D128" s="202"/>
      <c r="E128" s="89" t="s">
        <v>148</v>
      </c>
      <c r="F128" s="89"/>
      <c r="G128" s="90"/>
      <c r="H128" s="90"/>
      <c r="I128" s="89"/>
      <c r="J128" s="109">
        <v>44351</v>
      </c>
      <c r="K128" s="110">
        <v>48</v>
      </c>
      <c r="L128" s="111">
        <v>0</v>
      </c>
      <c r="M128" s="111">
        <v>0</v>
      </c>
      <c r="N128" s="111">
        <v>0</v>
      </c>
      <c r="O128" s="89"/>
      <c r="P128" s="112"/>
      <c r="Q128" s="119"/>
    </row>
    <row r="129" spans="2:17" s="7" customFormat="1" ht="24" x14ac:dyDescent="0.15">
      <c r="B129" s="156"/>
      <c r="C129" s="163"/>
      <c r="D129" s="202"/>
      <c r="E129" s="89" t="s">
        <v>155</v>
      </c>
      <c r="F129" s="89"/>
      <c r="G129" s="90"/>
      <c r="H129" s="90"/>
      <c r="I129" s="89"/>
      <c r="J129" s="109">
        <v>44351</v>
      </c>
      <c r="K129" s="110">
        <v>40</v>
      </c>
      <c r="L129" s="111">
        <v>0</v>
      </c>
      <c r="M129" s="111">
        <v>0</v>
      </c>
      <c r="N129" s="111">
        <v>0</v>
      </c>
      <c r="O129" s="89"/>
      <c r="P129" s="112"/>
      <c r="Q129" s="119"/>
    </row>
    <row r="130" spans="2:17" s="7" customFormat="1" ht="24" x14ac:dyDescent="0.15">
      <c r="B130" s="156"/>
      <c r="C130" s="163"/>
      <c r="D130" s="202"/>
      <c r="E130" s="89" t="s">
        <v>156</v>
      </c>
      <c r="F130" s="89"/>
      <c r="G130" s="90"/>
      <c r="H130" s="90"/>
      <c r="I130" s="89"/>
      <c r="J130" s="109">
        <v>44351</v>
      </c>
      <c r="K130" s="110">
        <v>40</v>
      </c>
      <c r="L130" s="111">
        <v>0</v>
      </c>
      <c r="M130" s="111">
        <v>0</v>
      </c>
      <c r="N130" s="111">
        <v>0</v>
      </c>
      <c r="O130" s="89"/>
      <c r="P130" s="112"/>
      <c r="Q130" s="119"/>
    </row>
    <row r="131" spans="2:17" s="7" customFormat="1" x14ac:dyDescent="0.15">
      <c r="B131" s="156"/>
      <c r="C131" s="163"/>
      <c r="D131" s="202"/>
      <c r="E131" s="89" t="s">
        <v>151</v>
      </c>
      <c r="F131" s="89"/>
      <c r="G131" s="90"/>
      <c r="H131" s="90"/>
      <c r="I131" s="89"/>
      <c r="J131" s="109">
        <v>44351</v>
      </c>
      <c r="K131" s="110">
        <v>56</v>
      </c>
      <c r="L131" s="111">
        <v>0</v>
      </c>
      <c r="M131" s="111">
        <v>0</v>
      </c>
      <c r="N131" s="111">
        <v>0</v>
      </c>
      <c r="O131" s="89"/>
      <c r="P131" s="112"/>
      <c r="Q131" s="119"/>
    </row>
    <row r="132" spans="2:17" s="7" customFormat="1" ht="24" x14ac:dyDescent="0.15">
      <c r="B132" s="156"/>
      <c r="C132" s="163"/>
      <c r="D132" s="202"/>
      <c r="E132" s="89" t="s">
        <v>158</v>
      </c>
      <c r="F132" s="89"/>
      <c r="G132" s="90"/>
      <c r="H132" s="90"/>
      <c r="I132" s="89"/>
      <c r="J132" s="109">
        <v>44358</v>
      </c>
      <c r="K132" s="110">
        <v>40</v>
      </c>
      <c r="L132" s="111">
        <v>0</v>
      </c>
      <c r="M132" s="111">
        <v>0</v>
      </c>
      <c r="N132" s="111">
        <v>0</v>
      </c>
      <c r="O132" s="89"/>
      <c r="P132" s="112"/>
      <c r="Q132" s="119"/>
    </row>
    <row r="133" spans="2:17" s="7" customFormat="1" x14ac:dyDescent="0.15">
      <c r="B133" s="156"/>
      <c r="C133" s="163"/>
      <c r="D133" s="202"/>
      <c r="E133" s="89" t="s">
        <v>159</v>
      </c>
      <c r="F133" s="89"/>
      <c r="G133" s="90"/>
      <c r="H133" s="90"/>
      <c r="I133" s="89"/>
      <c r="J133" s="109">
        <v>44358</v>
      </c>
      <c r="K133" s="110"/>
      <c r="L133" s="111">
        <v>0</v>
      </c>
      <c r="M133" s="111">
        <v>0</v>
      </c>
      <c r="N133" s="111">
        <v>0</v>
      </c>
      <c r="O133" s="89"/>
      <c r="P133" s="112"/>
      <c r="Q133" s="119"/>
    </row>
    <row r="134" spans="2:17" s="7" customFormat="1" ht="36" x14ac:dyDescent="0.15">
      <c r="B134" s="156"/>
      <c r="C134" s="163"/>
      <c r="D134" s="202"/>
      <c r="E134" s="89" t="s">
        <v>160</v>
      </c>
      <c r="F134" s="89"/>
      <c r="G134" s="90"/>
      <c r="H134" s="90"/>
      <c r="I134" s="89"/>
      <c r="J134" s="109">
        <v>44358</v>
      </c>
      <c r="K134" s="110">
        <v>40</v>
      </c>
      <c r="L134" s="111">
        <v>0</v>
      </c>
      <c r="M134" s="111">
        <v>0</v>
      </c>
      <c r="N134" s="111">
        <v>0</v>
      </c>
      <c r="O134" s="89"/>
      <c r="P134" s="112"/>
      <c r="Q134" s="119"/>
    </row>
    <row r="135" spans="2:17" s="7" customFormat="1" x14ac:dyDescent="0.15">
      <c r="B135" s="156"/>
      <c r="C135" s="163"/>
      <c r="D135" s="202"/>
      <c r="E135" s="89" t="s">
        <v>161</v>
      </c>
      <c r="F135" s="89"/>
      <c r="G135" s="90"/>
      <c r="H135" s="90"/>
      <c r="I135" s="89"/>
      <c r="J135" s="109">
        <v>44358</v>
      </c>
      <c r="K135" s="110"/>
      <c r="L135" s="111">
        <v>0</v>
      </c>
      <c r="M135" s="111">
        <v>0</v>
      </c>
      <c r="N135" s="111">
        <v>0</v>
      </c>
      <c r="O135" s="89"/>
      <c r="P135" s="112"/>
      <c r="Q135" s="119"/>
    </row>
    <row r="136" spans="2:17" s="7" customFormat="1" ht="24" x14ac:dyDescent="0.15">
      <c r="B136" s="156"/>
      <c r="C136" s="163"/>
      <c r="D136" s="201" t="s">
        <v>139</v>
      </c>
      <c r="E136" s="89" t="s">
        <v>158</v>
      </c>
      <c r="F136" s="89"/>
      <c r="G136" s="90"/>
      <c r="H136" s="90"/>
      <c r="I136" s="89"/>
      <c r="J136" s="109">
        <v>44365</v>
      </c>
      <c r="K136" s="110">
        <v>40</v>
      </c>
      <c r="L136" s="111">
        <v>0</v>
      </c>
      <c r="M136" s="111">
        <v>0</v>
      </c>
      <c r="N136" s="111">
        <v>0</v>
      </c>
      <c r="O136" s="89"/>
      <c r="P136" s="112"/>
      <c r="Q136" s="119"/>
    </row>
    <row r="137" spans="2:17" s="7" customFormat="1" ht="24" x14ac:dyDescent="0.15">
      <c r="B137" s="156"/>
      <c r="C137" s="163"/>
      <c r="D137" s="202"/>
      <c r="E137" s="89" t="s">
        <v>162</v>
      </c>
      <c r="F137" s="89"/>
      <c r="G137" s="90"/>
      <c r="H137" s="90"/>
      <c r="I137" s="89"/>
      <c r="J137" s="109">
        <v>44365</v>
      </c>
      <c r="K137" s="110"/>
      <c r="L137" s="111">
        <v>0</v>
      </c>
      <c r="M137" s="111">
        <v>0</v>
      </c>
      <c r="N137" s="111">
        <v>0</v>
      </c>
      <c r="O137" s="89"/>
      <c r="P137" s="112"/>
      <c r="Q137" s="119"/>
    </row>
    <row r="138" spans="2:17" s="7" customFormat="1" ht="15" customHeight="1" x14ac:dyDescent="0.15">
      <c r="B138" s="156"/>
      <c r="C138" s="163"/>
      <c r="D138" s="202"/>
      <c r="E138" s="89" t="s">
        <v>163</v>
      </c>
      <c r="F138" s="89"/>
      <c r="G138" s="90"/>
      <c r="H138" s="90"/>
      <c r="I138" s="89"/>
      <c r="J138" s="109">
        <v>44365</v>
      </c>
      <c r="K138" s="110">
        <v>56</v>
      </c>
      <c r="L138" s="111">
        <v>0</v>
      </c>
      <c r="M138" s="111">
        <v>0</v>
      </c>
      <c r="N138" s="111">
        <v>0</v>
      </c>
      <c r="O138" s="89"/>
      <c r="P138" s="112"/>
      <c r="Q138" s="119"/>
    </row>
    <row r="139" spans="2:17" s="7" customFormat="1" ht="36" x14ac:dyDescent="0.15">
      <c r="B139" s="156"/>
      <c r="C139" s="163"/>
      <c r="D139" s="203"/>
      <c r="E139" s="89" t="s">
        <v>164</v>
      </c>
      <c r="F139" s="89"/>
      <c r="G139" s="90"/>
      <c r="H139" s="90"/>
      <c r="I139" s="89"/>
      <c r="J139" s="109">
        <v>44365</v>
      </c>
      <c r="K139" s="110"/>
      <c r="L139" s="111">
        <v>0</v>
      </c>
      <c r="M139" s="111">
        <v>0</v>
      </c>
      <c r="N139" s="111">
        <v>0</v>
      </c>
      <c r="O139" s="89"/>
      <c r="P139" s="112"/>
      <c r="Q139" s="119"/>
    </row>
    <row r="140" spans="2:17" s="7" customFormat="1" ht="24" x14ac:dyDescent="0.15">
      <c r="B140" s="156"/>
      <c r="C140" s="163"/>
      <c r="D140" s="201" t="s">
        <v>136</v>
      </c>
      <c r="E140" s="89" t="s">
        <v>165</v>
      </c>
      <c r="F140" s="89"/>
      <c r="G140" s="90"/>
      <c r="H140" s="90"/>
      <c r="I140" s="89"/>
      <c r="J140" s="109">
        <v>44365</v>
      </c>
      <c r="K140" s="110"/>
      <c r="L140" s="111">
        <v>0</v>
      </c>
      <c r="M140" s="111">
        <v>0</v>
      </c>
      <c r="N140" s="111">
        <v>0</v>
      </c>
      <c r="O140" s="89"/>
      <c r="P140" s="112"/>
      <c r="Q140" s="119"/>
    </row>
    <row r="141" spans="2:17" s="7" customFormat="1" x14ac:dyDescent="0.15">
      <c r="B141" s="156"/>
      <c r="C141" s="163"/>
      <c r="D141" s="203"/>
      <c r="E141" s="89" t="s">
        <v>153</v>
      </c>
      <c r="F141" s="89"/>
      <c r="G141" s="90"/>
      <c r="H141" s="90"/>
      <c r="I141" s="89"/>
      <c r="J141" s="109">
        <v>44365</v>
      </c>
      <c r="K141" s="110">
        <v>40</v>
      </c>
      <c r="L141" s="111">
        <v>0</v>
      </c>
      <c r="M141" s="111">
        <v>0</v>
      </c>
      <c r="N141" s="111">
        <v>0</v>
      </c>
      <c r="O141" s="89"/>
      <c r="P141" s="112"/>
      <c r="Q141" s="119"/>
    </row>
    <row r="142" spans="2:17" s="7" customFormat="1" ht="24" x14ac:dyDescent="0.15">
      <c r="B142" s="156"/>
      <c r="C142" s="163"/>
      <c r="D142" s="204" t="s">
        <v>62</v>
      </c>
      <c r="E142" s="89" t="s">
        <v>166</v>
      </c>
      <c r="F142" s="89"/>
      <c r="G142" s="90"/>
      <c r="H142" s="90"/>
      <c r="I142" s="89"/>
      <c r="J142" s="109">
        <v>44377</v>
      </c>
      <c r="K142" s="110">
        <v>8</v>
      </c>
      <c r="L142" s="111">
        <v>0</v>
      </c>
      <c r="M142" s="111">
        <v>0</v>
      </c>
      <c r="N142" s="111">
        <v>0</v>
      </c>
      <c r="O142" s="89"/>
      <c r="P142" s="112"/>
      <c r="Q142" s="119"/>
    </row>
    <row r="143" spans="2:17" s="7" customFormat="1" x14ac:dyDescent="0.15">
      <c r="B143" s="156"/>
      <c r="C143" s="163"/>
      <c r="D143" s="205"/>
      <c r="E143" s="89" t="s">
        <v>145</v>
      </c>
      <c r="F143" s="89"/>
      <c r="G143" s="90"/>
      <c r="H143" s="90"/>
      <c r="I143" s="89"/>
      <c r="J143" s="109">
        <v>44377</v>
      </c>
      <c r="K143" s="110">
        <v>56</v>
      </c>
      <c r="L143" s="111">
        <v>0</v>
      </c>
      <c r="M143" s="111">
        <v>0</v>
      </c>
      <c r="N143" s="111">
        <v>0</v>
      </c>
      <c r="O143" s="89"/>
      <c r="P143" s="112"/>
      <c r="Q143" s="119"/>
    </row>
    <row r="144" spans="2:17" s="7" customFormat="1" x14ac:dyDescent="0.15">
      <c r="B144" s="156"/>
      <c r="C144" s="163"/>
      <c r="D144" s="205"/>
      <c r="E144" s="89" t="s">
        <v>146</v>
      </c>
      <c r="F144" s="89"/>
      <c r="G144" s="90"/>
      <c r="H144" s="90"/>
      <c r="I144" s="89"/>
      <c r="J144" s="109">
        <v>44377</v>
      </c>
      <c r="K144" s="110"/>
      <c r="L144" s="111">
        <v>0</v>
      </c>
      <c r="M144" s="111">
        <v>0</v>
      </c>
      <c r="N144" s="111">
        <v>0</v>
      </c>
      <c r="O144" s="89"/>
      <c r="P144" s="112"/>
      <c r="Q144" s="119"/>
    </row>
    <row r="145" spans="2:17" s="7" customFormat="1" ht="36" x14ac:dyDescent="0.15">
      <c r="B145" s="156"/>
      <c r="C145" s="163"/>
      <c r="D145" s="205"/>
      <c r="E145" s="89" t="s">
        <v>167</v>
      </c>
      <c r="F145" s="89"/>
      <c r="G145" s="90"/>
      <c r="H145" s="90"/>
      <c r="I145" s="89"/>
      <c r="J145" s="109">
        <v>44377</v>
      </c>
      <c r="K145" s="110">
        <v>56</v>
      </c>
      <c r="L145" s="111">
        <v>0</v>
      </c>
      <c r="M145" s="111">
        <v>0</v>
      </c>
      <c r="N145" s="111">
        <v>0</v>
      </c>
      <c r="O145" s="89"/>
      <c r="P145" s="112"/>
      <c r="Q145" s="119"/>
    </row>
    <row r="146" spans="2:17" s="7" customFormat="1" x14ac:dyDescent="0.15">
      <c r="B146" s="156"/>
      <c r="C146" s="163"/>
      <c r="D146" s="205"/>
      <c r="E146" s="89" t="s">
        <v>148</v>
      </c>
      <c r="F146" s="89"/>
      <c r="G146" s="90"/>
      <c r="H146" s="90"/>
      <c r="I146" s="89"/>
      <c r="J146" s="109">
        <v>44377</v>
      </c>
      <c r="K146" s="110">
        <v>56</v>
      </c>
      <c r="L146" s="111">
        <v>0</v>
      </c>
      <c r="M146" s="111">
        <v>0</v>
      </c>
      <c r="N146" s="111">
        <v>0</v>
      </c>
      <c r="O146" s="89"/>
      <c r="P146" s="112"/>
      <c r="Q146" s="119"/>
    </row>
    <row r="147" spans="2:17" s="7" customFormat="1" ht="24" x14ac:dyDescent="0.15">
      <c r="B147" s="156"/>
      <c r="C147" s="163"/>
      <c r="D147" s="205"/>
      <c r="E147" s="89" t="s">
        <v>155</v>
      </c>
      <c r="F147" s="89"/>
      <c r="G147" s="90"/>
      <c r="H147" s="90"/>
      <c r="I147" s="89"/>
      <c r="J147" s="109">
        <v>44377</v>
      </c>
      <c r="K147" s="110">
        <v>40</v>
      </c>
      <c r="L147" s="111">
        <v>0</v>
      </c>
      <c r="M147" s="111">
        <v>0</v>
      </c>
      <c r="N147" s="111">
        <v>0</v>
      </c>
      <c r="O147" s="89"/>
      <c r="P147" s="112"/>
      <c r="Q147" s="119"/>
    </row>
    <row r="148" spans="2:17" s="7" customFormat="1" ht="24" x14ac:dyDescent="0.15">
      <c r="B148" s="156"/>
      <c r="C148" s="163"/>
      <c r="D148" s="205"/>
      <c r="E148" s="89" t="s">
        <v>156</v>
      </c>
      <c r="F148" s="89"/>
      <c r="G148" s="90"/>
      <c r="H148" s="90"/>
      <c r="I148" s="89"/>
      <c r="J148" s="109">
        <v>44377</v>
      </c>
      <c r="K148" s="110">
        <v>40</v>
      </c>
      <c r="L148" s="111">
        <v>0</v>
      </c>
      <c r="M148" s="111">
        <v>0</v>
      </c>
      <c r="N148" s="111">
        <v>0</v>
      </c>
      <c r="O148" s="89"/>
      <c r="P148" s="112"/>
      <c r="Q148" s="119"/>
    </row>
    <row r="149" spans="2:17" s="7" customFormat="1" x14ac:dyDescent="0.15">
      <c r="B149" s="156"/>
      <c r="C149" s="163"/>
      <c r="D149" s="205"/>
      <c r="E149" s="89" t="s">
        <v>151</v>
      </c>
      <c r="F149" s="89"/>
      <c r="G149" s="90"/>
      <c r="H149" s="90"/>
      <c r="I149" s="89"/>
      <c r="J149" s="109">
        <v>44377</v>
      </c>
      <c r="K149" s="110">
        <v>56</v>
      </c>
      <c r="L149" s="111">
        <v>0</v>
      </c>
      <c r="M149" s="111">
        <v>0</v>
      </c>
      <c r="N149" s="111">
        <v>0</v>
      </c>
      <c r="O149" s="89"/>
      <c r="P149" s="112"/>
      <c r="Q149" s="119"/>
    </row>
    <row r="150" spans="2:17" s="7" customFormat="1" x14ac:dyDescent="0.15">
      <c r="B150" s="156"/>
      <c r="C150" s="163"/>
      <c r="D150" s="73"/>
      <c r="E150" s="73"/>
      <c r="F150" s="73"/>
      <c r="G150" s="120"/>
      <c r="H150" s="120"/>
      <c r="I150" s="73"/>
      <c r="J150" s="125"/>
      <c r="K150" s="96"/>
      <c r="L150" s="120"/>
      <c r="M150" s="120"/>
      <c r="N150" s="120"/>
      <c r="O150" s="73"/>
      <c r="P150" s="126"/>
      <c r="Q150" s="131"/>
    </row>
    <row r="151" spans="2:17" s="8" customFormat="1" x14ac:dyDescent="0.15">
      <c r="B151" s="162" t="s">
        <v>168</v>
      </c>
      <c r="C151" s="179"/>
      <c r="D151" s="70" t="s">
        <v>312</v>
      </c>
      <c r="E151" s="70" t="s">
        <v>311</v>
      </c>
      <c r="F151" s="70" t="s">
        <v>138</v>
      </c>
      <c r="G151" s="121">
        <v>0.2</v>
      </c>
      <c r="H151" s="121"/>
      <c r="I151" s="70">
        <v>28015</v>
      </c>
      <c r="J151" s="99"/>
      <c r="K151" s="100">
        <v>10</v>
      </c>
      <c r="L151" s="124">
        <v>0</v>
      </c>
      <c r="M151" s="124">
        <v>1</v>
      </c>
      <c r="N151" s="124">
        <v>0</v>
      </c>
      <c r="O151" s="75"/>
      <c r="P151" s="101"/>
      <c r="Q151" s="116"/>
    </row>
    <row r="152" spans="2:17" s="8" customFormat="1" x14ac:dyDescent="0.15">
      <c r="B152" s="163"/>
      <c r="C152" s="180"/>
      <c r="D152" s="19" t="s">
        <v>313</v>
      </c>
      <c r="E152" s="18" t="s">
        <v>169</v>
      </c>
      <c r="F152" s="18" t="s">
        <v>170</v>
      </c>
      <c r="G152" s="123">
        <v>1</v>
      </c>
      <c r="H152" s="123"/>
      <c r="I152" s="18"/>
      <c r="J152" s="102"/>
      <c r="K152" s="103">
        <v>80</v>
      </c>
      <c r="L152" s="123">
        <v>0.5</v>
      </c>
      <c r="M152" s="123">
        <v>0.5</v>
      </c>
      <c r="N152" s="123">
        <v>0</v>
      </c>
      <c r="O152" s="75"/>
      <c r="P152" s="101"/>
      <c r="Q152" s="116"/>
    </row>
    <row r="153" spans="2:17" x14ac:dyDescent="0.15">
      <c r="B153" s="163"/>
      <c r="C153" s="180"/>
      <c r="D153" s="185" t="s">
        <v>314</v>
      </c>
      <c r="E153" s="18" t="s">
        <v>171</v>
      </c>
      <c r="F153" s="18" t="s">
        <v>44</v>
      </c>
      <c r="G153" s="123">
        <v>1</v>
      </c>
      <c r="H153" s="123"/>
      <c r="I153" s="18">
        <v>27798</v>
      </c>
      <c r="J153" s="102">
        <v>44326</v>
      </c>
      <c r="K153" s="103">
        <v>120</v>
      </c>
      <c r="L153" s="123">
        <v>0.8</v>
      </c>
      <c r="M153" s="123">
        <v>0.2</v>
      </c>
      <c r="N153" s="123">
        <v>0</v>
      </c>
      <c r="O153" s="75"/>
      <c r="P153" s="101"/>
      <c r="Q153" s="116"/>
    </row>
    <row r="154" spans="2:17" x14ac:dyDescent="0.15">
      <c r="B154" s="163"/>
      <c r="C154" s="180"/>
      <c r="D154" s="185"/>
      <c r="E154" s="19" t="s">
        <v>43</v>
      </c>
      <c r="F154" s="19" t="s">
        <v>44</v>
      </c>
      <c r="G154" s="20">
        <v>1</v>
      </c>
      <c r="H154" s="20"/>
      <c r="I154" s="19">
        <v>27798</v>
      </c>
      <c r="J154" s="39">
        <v>44326</v>
      </c>
      <c r="K154" s="40">
        <f>K153*0.15</f>
        <v>18</v>
      </c>
      <c r="L154" s="20">
        <v>0.4</v>
      </c>
      <c r="M154" s="20">
        <v>0.6</v>
      </c>
      <c r="N154" s="20">
        <v>0</v>
      </c>
      <c r="O154" s="22"/>
      <c r="P154" s="49"/>
      <c r="Q154" s="62"/>
    </row>
    <row r="155" spans="2:17" x14ac:dyDescent="0.15">
      <c r="B155" s="163"/>
      <c r="C155" s="180"/>
      <c r="D155" s="182"/>
      <c r="E155" s="19" t="s">
        <v>46</v>
      </c>
      <c r="F155" s="19" t="s">
        <v>44</v>
      </c>
      <c r="G155" s="20">
        <v>0.5</v>
      </c>
      <c r="H155" s="20"/>
      <c r="I155" s="19">
        <v>27798</v>
      </c>
      <c r="J155" s="39">
        <v>44326</v>
      </c>
      <c r="K155" s="40">
        <f>K153*0.15</f>
        <v>18</v>
      </c>
      <c r="L155" s="20">
        <v>0</v>
      </c>
      <c r="M155" s="20">
        <v>1</v>
      </c>
      <c r="N155" s="20">
        <v>0</v>
      </c>
      <c r="O155" s="22"/>
      <c r="P155" s="49"/>
      <c r="Q155" s="62"/>
    </row>
    <row r="156" spans="2:17" x14ac:dyDescent="0.15">
      <c r="B156" s="163"/>
      <c r="C156" s="180"/>
      <c r="D156" s="183" t="s">
        <v>316</v>
      </c>
      <c r="E156" s="19" t="s">
        <v>315</v>
      </c>
      <c r="F156" s="19" t="s">
        <v>45</v>
      </c>
      <c r="G156" s="20">
        <v>1</v>
      </c>
      <c r="H156" s="20"/>
      <c r="I156" s="19">
        <v>28013</v>
      </c>
      <c r="J156" s="39">
        <v>44329</v>
      </c>
      <c r="K156" s="40">
        <v>120</v>
      </c>
      <c r="L156" s="20">
        <v>0.2</v>
      </c>
      <c r="M156" s="20">
        <v>0.8</v>
      </c>
      <c r="N156" s="20">
        <v>0</v>
      </c>
      <c r="O156" s="22"/>
      <c r="P156" s="49"/>
      <c r="Q156" s="62"/>
    </row>
    <row r="157" spans="2:17" x14ac:dyDescent="0.15">
      <c r="B157" s="163"/>
      <c r="C157" s="180"/>
      <c r="D157" s="185"/>
      <c r="E157" s="19" t="s">
        <v>43</v>
      </c>
      <c r="F157" s="19" t="s">
        <v>44</v>
      </c>
      <c r="G157" s="20">
        <v>1</v>
      </c>
      <c r="H157" s="20"/>
      <c r="I157" s="19">
        <v>28013</v>
      </c>
      <c r="J157" s="39">
        <v>44329</v>
      </c>
      <c r="K157" s="40">
        <f>K156*0.15</f>
        <v>18</v>
      </c>
      <c r="L157" s="20">
        <v>0</v>
      </c>
      <c r="M157" s="20">
        <v>1</v>
      </c>
      <c r="N157" s="20">
        <v>0</v>
      </c>
      <c r="O157" s="22"/>
      <c r="P157" s="49"/>
      <c r="Q157" s="62"/>
    </row>
    <row r="158" spans="2:17" x14ac:dyDescent="0.15">
      <c r="B158" s="163"/>
      <c r="C158" s="180"/>
      <c r="D158" s="182"/>
      <c r="E158" s="19" t="s">
        <v>46</v>
      </c>
      <c r="F158" s="19" t="s">
        <v>44</v>
      </c>
      <c r="G158" s="20">
        <v>0.5</v>
      </c>
      <c r="H158" s="20"/>
      <c r="I158" s="19">
        <v>28013</v>
      </c>
      <c r="J158" s="39">
        <v>44329</v>
      </c>
      <c r="K158" s="40">
        <f>K156*0.15</f>
        <v>18</v>
      </c>
      <c r="L158" s="20">
        <v>0</v>
      </c>
      <c r="M158" s="20">
        <v>1</v>
      </c>
      <c r="N158" s="20">
        <v>0</v>
      </c>
      <c r="O158" s="22"/>
      <c r="P158" s="49"/>
      <c r="Q158" s="62"/>
    </row>
    <row r="159" spans="2:17" ht="24" x14ac:dyDescent="0.15">
      <c r="B159" s="163"/>
      <c r="C159" s="122"/>
      <c r="D159" s="183" t="s">
        <v>317</v>
      </c>
      <c r="E159" s="19" t="s">
        <v>172</v>
      </c>
      <c r="F159" s="19" t="s">
        <v>173</v>
      </c>
      <c r="G159" s="20">
        <v>0</v>
      </c>
      <c r="H159" s="20"/>
      <c r="I159" s="19">
        <v>28047</v>
      </c>
      <c r="J159" s="39" t="s">
        <v>106</v>
      </c>
      <c r="K159" s="40">
        <v>8</v>
      </c>
      <c r="L159" s="20">
        <v>0</v>
      </c>
      <c r="M159" s="20">
        <v>1</v>
      </c>
      <c r="N159" s="20">
        <v>0</v>
      </c>
      <c r="O159" s="207" t="s">
        <v>174</v>
      </c>
      <c r="P159" s="49"/>
      <c r="Q159" s="62"/>
    </row>
    <row r="160" spans="2:17" x14ac:dyDescent="0.15">
      <c r="B160" s="163"/>
      <c r="C160" s="122"/>
      <c r="D160" s="185"/>
      <c r="E160" s="19" t="s">
        <v>43</v>
      </c>
      <c r="F160" s="18" t="s">
        <v>44</v>
      </c>
      <c r="G160" s="20">
        <v>0</v>
      </c>
      <c r="H160" s="20"/>
      <c r="I160" s="19">
        <v>28047</v>
      </c>
      <c r="J160" s="39" t="s">
        <v>106</v>
      </c>
      <c r="K160" s="40">
        <v>0</v>
      </c>
      <c r="L160" s="20">
        <v>0</v>
      </c>
      <c r="M160" s="20">
        <v>0</v>
      </c>
      <c r="N160" s="20">
        <v>0</v>
      </c>
      <c r="O160" s="194"/>
      <c r="P160" s="49"/>
      <c r="Q160" s="62"/>
    </row>
    <row r="161" spans="2:17" x14ac:dyDescent="0.15">
      <c r="B161" s="163"/>
      <c r="C161" s="122"/>
      <c r="D161" s="182"/>
      <c r="E161" s="19" t="s">
        <v>46</v>
      </c>
      <c r="F161" s="18" t="s">
        <v>44</v>
      </c>
      <c r="G161" s="20">
        <v>0</v>
      </c>
      <c r="H161" s="20"/>
      <c r="I161" s="19">
        <v>28047</v>
      </c>
      <c r="J161" s="39" t="s">
        <v>106</v>
      </c>
      <c r="K161" s="40">
        <v>0</v>
      </c>
      <c r="L161" s="20">
        <v>0</v>
      </c>
      <c r="M161" s="20">
        <v>0</v>
      </c>
      <c r="N161" s="20">
        <v>0</v>
      </c>
      <c r="O161" s="195"/>
      <c r="P161" s="49"/>
      <c r="Q161" s="62"/>
    </row>
    <row r="162" spans="2:17" ht="24" x14ac:dyDescent="0.15">
      <c r="B162" s="163"/>
      <c r="C162" s="122"/>
      <c r="D162" s="196" t="s">
        <v>318</v>
      </c>
      <c r="E162" s="75" t="s">
        <v>175</v>
      </c>
      <c r="F162" s="28" t="s">
        <v>170</v>
      </c>
      <c r="G162" s="124">
        <v>0</v>
      </c>
      <c r="H162" s="124" t="s">
        <v>176</v>
      </c>
      <c r="I162" s="30">
        <v>28049</v>
      </c>
      <c r="J162" s="127"/>
      <c r="K162" s="128">
        <v>96</v>
      </c>
      <c r="L162" s="66">
        <v>0</v>
      </c>
      <c r="M162" s="124">
        <v>0</v>
      </c>
      <c r="N162" s="124">
        <v>1</v>
      </c>
      <c r="O162" s="199" t="s">
        <v>177</v>
      </c>
      <c r="P162" s="101"/>
      <c r="Q162" s="116"/>
    </row>
    <row r="163" spans="2:17" x14ac:dyDescent="0.15">
      <c r="B163" s="163"/>
      <c r="C163" s="122"/>
      <c r="D163" s="197"/>
      <c r="E163" s="22" t="s">
        <v>43</v>
      </c>
      <c r="F163" s="30" t="s">
        <v>44</v>
      </c>
      <c r="G163" s="124">
        <v>0</v>
      </c>
      <c r="H163" s="124"/>
      <c r="I163" s="30">
        <v>28049</v>
      </c>
      <c r="J163" s="127"/>
      <c r="K163" s="48">
        <f>K162*0.15</f>
        <v>14.399999999999999</v>
      </c>
      <c r="L163" s="66">
        <v>0</v>
      </c>
      <c r="M163" s="124">
        <v>0</v>
      </c>
      <c r="N163" s="124">
        <v>1</v>
      </c>
      <c r="O163" s="200"/>
      <c r="P163" s="101"/>
      <c r="Q163" s="116"/>
    </row>
    <row r="164" spans="2:17" x14ac:dyDescent="0.15">
      <c r="B164" s="163"/>
      <c r="C164" s="122"/>
      <c r="D164" s="198"/>
      <c r="E164" s="22" t="s">
        <v>46</v>
      </c>
      <c r="F164" s="30" t="s">
        <v>44</v>
      </c>
      <c r="G164" s="124">
        <v>0</v>
      </c>
      <c r="H164" s="124"/>
      <c r="I164" s="30">
        <v>28049</v>
      </c>
      <c r="J164" s="127"/>
      <c r="K164" s="48">
        <f>K162*0.15</f>
        <v>14.399999999999999</v>
      </c>
      <c r="L164" s="66">
        <v>0</v>
      </c>
      <c r="M164" s="124">
        <v>0</v>
      </c>
      <c r="N164" s="124">
        <v>1</v>
      </c>
      <c r="O164" s="208"/>
      <c r="P164" s="101"/>
      <c r="Q164" s="116"/>
    </row>
    <row r="165" spans="2:17" ht="24" x14ac:dyDescent="0.15">
      <c r="B165" s="163"/>
      <c r="C165" s="122"/>
      <c r="D165" s="196" t="s">
        <v>319</v>
      </c>
      <c r="E165" s="28" t="s">
        <v>178</v>
      </c>
      <c r="F165" s="30" t="s">
        <v>179</v>
      </c>
      <c r="G165" s="23">
        <v>0</v>
      </c>
      <c r="H165" s="23"/>
      <c r="I165" s="75">
        <v>28048</v>
      </c>
      <c r="J165" s="129"/>
      <c r="K165" s="128">
        <v>96</v>
      </c>
      <c r="L165" s="23">
        <v>0</v>
      </c>
      <c r="M165" s="124">
        <v>0</v>
      </c>
      <c r="N165" s="124">
        <v>1</v>
      </c>
      <c r="O165" s="75"/>
      <c r="P165" s="101"/>
      <c r="Q165" s="116"/>
    </row>
    <row r="166" spans="2:17" x14ac:dyDescent="0.15">
      <c r="B166" s="163"/>
      <c r="C166" s="122"/>
      <c r="D166" s="197"/>
      <c r="E166" s="22" t="s">
        <v>43</v>
      </c>
      <c r="F166" s="30" t="s">
        <v>44</v>
      </c>
      <c r="G166" s="23">
        <v>0</v>
      </c>
      <c r="H166" s="23"/>
      <c r="I166" s="75">
        <v>28048</v>
      </c>
      <c r="J166" s="129"/>
      <c r="K166" s="48">
        <f>K165*0.15</f>
        <v>14.399999999999999</v>
      </c>
      <c r="L166" s="23">
        <v>0</v>
      </c>
      <c r="M166" s="124">
        <v>0</v>
      </c>
      <c r="N166" s="124">
        <v>1</v>
      </c>
      <c r="O166" s="75"/>
      <c r="P166" s="101"/>
      <c r="Q166" s="116"/>
    </row>
    <row r="167" spans="2:17" x14ac:dyDescent="0.15">
      <c r="B167" s="163"/>
      <c r="C167" s="122"/>
      <c r="D167" s="198"/>
      <c r="E167" s="22" t="s">
        <v>46</v>
      </c>
      <c r="F167" s="30" t="s">
        <v>44</v>
      </c>
      <c r="G167" s="23">
        <v>0</v>
      </c>
      <c r="H167" s="23"/>
      <c r="I167" s="75">
        <v>28048</v>
      </c>
      <c r="J167" s="129"/>
      <c r="K167" s="48">
        <f>K165*0.15</f>
        <v>14.399999999999999</v>
      </c>
      <c r="L167" s="23">
        <v>0</v>
      </c>
      <c r="M167" s="124">
        <v>0</v>
      </c>
      <c r="N167" s="124">
        <v>1</v>
      </c>
      <c r="O167" s="75"/>
      <c r="P167" s="101"/>
      <c r="Q167" s="116"/>
    </row>
    <row r="168" spans="2:17" ht="24" x14ac:dyDescent="0.15">
      <c r="B168" s="163"/>
      <c r="C168" s="122"/>
      <c r="D168" s="183" t="s">
        <v>320</v>
      </c>
      <c r="E168" s="19" t="s">
        <v>180</v>
      </c>
      <c r="F168" s="19" t="s">
        <v>78</v>
      </c>
      <c r="G168" s="20">
        <v>0</v>
      </c>
      <c r="H168" s="20"/>
      <c r="I168" s="19">
        <v>28050</v>
      </c>
      <c r="J168" s="39" t="s">
        <v>106</v>
      </c>
      <c r="K168" s="40">
        <v>8</v>
      </c>
      <c r="L168" s="20">
        <v>0</v>
      </c>
      <c r="M168" s="20">
        <v>1</v>
      </c>
      <c r="N168" s="20">
        <v>0</v>
      </c>
      <c r="O168" s="207" t="s">
        <v>174</v>
      </c>
      <c r="P168" s="101"/>
      <c r="Q168" s="116"/>
    </row>
    <row r="169" spans="2:17" x14ac:dyDescent="0.15">
      <c r="B169" s="163"/>
      <c r="C169" s="122"/>
      <c r="D169" s="185"/>
      <c r="E169" s="19" t="s">
        <v>43</v>
      </c>
      <c r="F169" s="18" t="s">
        <v>44</v>
      </c>
      <c r="G169" s="20">
        <v>0</v>
      </c>
      <c r="H169" s="20"/>
      <c r="I169" s="19">
        <v>28050</v>
      </c>
      <c r="J169" s="39" t="s">
        <v>106</v>
      </c>
      <c r="K169" s="40">
        <v>0</v>
      </c>
      <c r="L169" s="20">
        <v>0</v>
      </c>
      <c r="M169" s="20">
        <v>0</v>
      </c>
      <c r="N169" s="20">
        <v>0</v>
      </c>
      <c r="O169" s="194"/>
      <c r="P169" s="101"/>
      <c r="Q169" s="116"/>
    </row>
    <row r="170" spans="2:17" x14ac:dyDescent="0.15">
      <c r="B170" s="163"/>
      <c r="C170" s="122"/>
      <c r="D170" s="182"/>
      <c r="E170" s="19" t="s">
        <v>46</v>
      </c>
      <c r="F170" s="18" t="s">
        <v>44</v>
      </c>
      <c r="G170" s="20">
        <v>0</v>
      </c>
      <c r="H170" s="20"/>
      <c r="I170" s="19">
        <v>28050</v>
      </c>
      <c r="J170" s="39" t="s">
        <v>106</v>
      </c>
      <c r="K170" s="40">
        <v>0</v>
      </c>
      <c r="L170" s="20">
        <v>0</v>
      </c>
      <c r="M170" s="20">
        <v>0</v>
      </c>
      <c r="N170" s="20">
        <v>0</v>
      </c>
      <c r="O170" s="195"/>
      <c r="P170" s="101"/>
      <c r="Q170" s="116"/>
    </row>
    <row r="171" spans="2:17" ht="24" x14ac:dyDescent="0.15">
      <c r="B171" s="163"/>
      <c r="C171" s="122"/>
      <c r="D171" s="196" t="s">
        <v>321</v>
      </c>
      <c r="E171" s="28" t="s">
        <v>181</v>
      </c>
      <c r="F171" s="28" t="s">
        <v>179</v>
      </c>
      <c r="G171" s="23">
        <v>0</v>
      </c>
      <c r="H171" s="23"/>
      <c r="I171" s="22">
        <v>28051</v>
      </c>
      <c r="J171" s="127"/>
      <c r="K171" s="48">
        <v>200</v>
      </c>
      <c r="L171" s="23">
        <v>0</v>
      </c>
      <c r="M171" s="124">
        <v>0.2</v>
      </c>
      <c r="N171" s="124">
        <v>0.8</v>
      </c>
      <c r="O171" s="75"/>
      <c r="P171" s="101"/>
      <c r="Q171" s="116"/>
    </row>
    <row r="172" spans="2:17" x14ac:dyDescent="0.15">
      <c r="B172" s="163"/>
      <c r="C172" s="122"/>
      <c r="D172" s="197"/>
      <c r="E172" s="22" t="s">
        <v>43</v>
      </c>
      <c r="F172" s="75" t="s">
        <v>44</v>
      </c>
      <c r="G172" s="23">
        <v>0</v>
      </c>
      <c r="H172" s="23"/>
      <c r="I172" s="22">
        <v>28051</v>
      </c>
      <c r="J172" s="127"/>
      <c r="K172" s="48">
        <f>K171*0.15</f>
        <v>30</v>
      </c>
      <c r="L172" s="23">
        <v>0</v>
      </c>
      <c r="M172" s="124">
        <v>0</v>
      </c>
      <c r="N172" s="124">
        <v>1</v>
      </c>
      <c r="O172" s="75"/>
      <c r="P172" s="101"/>
      <c r="Q172" s="116"/>
    </row>
    <row r="173" spans="2:17" x14ac:dyDescent="0.15">
      <c r="B173" s="163"/>
      <c r="C173" s="122"/>
      <c r="D173" s="198"/>
      <c r="E173" s="22" t="s">
        <v>46</v>
      </c>
      <c r="F173" s="75" t="s">
        <v>44</v>
      </c>
      <c r="G173" s="23">
        <v>0</v>
      </c>
      <c r="H173" s="23"/>
      <c r="I173" s="22">
        <v>28051</v>
      </c>
      <c r="J173" s="127"/>
      <c r="K173" s="48">
        <f>K171*0.15</f>
        <v>30</v>
      </c>
      <c r="L173" s="23">
        <v>0</v>
      </c>
      <c r="M173" s="124">
        <v>0</v>
      </c>
      <c r="N173" s="124">
        <v>1</v>
      </c>
      <c r="O173" s="75"/>
      <c r="P173" s="101"/>
      <c r="Q173" s="116"/>
    </row>
    <row r="174" spans="2:17" x14ac:dyDescent="0.15">
      <c r="B174" s="163"/>
      <c r="C174" s="122"/>
      <c r="D174" s="196" t="s">
        <v>322</v>
      </c>
      <c r="E174" s="28" t="s">
        <v>182</v>
      </c>
      <c r="F174" s="28" t="s">
        <v>138</v>
      </c>
      <c r="G174" s="23">
        <v>0</v>
      </c>
      <c r="H174" s="23"/>
      <c r="I174" s="22">
        <v>28099</v>
      </c>
      <c r="J174" s="127"/>
      <c r="K174" s="48">
        <v>200</v>
      </c>
      <c r="L174" s="23">
        <v>0</v>
      </c>
      <c r="M174" s="124">
        <v>0.2</v>
      </c>
      <c r="N174" s="124">
        <v>0.8</v>
      </c>
      <c r="O174" s="75"/>
      <c r="P174" s="101"/>
      <c r="Q174" s="116"/>
    </row>
    <row r="175" spans="2:17" x14ac:dyDescent="0.15">
      <c r="B175" s="163"/>
      <c r="C175" s="122"/>
      <c r="D175" s="197"/>
      <c r="E175" s="22" t="s">
        <v>43</v>
      </c>
      <c r="F175" s="75" t="s">
        <v>44</v>
      </c>
      <c r="G175" s="23">
        <v>0</v>
      </c>
      <c r="H175" s="23"/>
      <c r="I175" s="22">
        <v>28099</v>
      </c>
      <c r="J175" s="127"/>
      <c r="K175" s="48">
        <f>K174*0.15</f>
        <v>30</v>
      </c>
      <c r="L175" s="23">
        <v>0</v>
      </c>
      <c r="M175" s="124">
        <v>0</v>
      </c>
      <c r="N175" s="124">
        <v>1</v>
      </c>
      <c r="O175" s="75"/>
      <c r="P175" s="101"/>
      <c r="Q175" s="116"/>
    </row>
    <row r="176" spans="2:17" x14ac:dyDescent="0.15">
      <c r="B176" s="163"/>
      <c r="C176" s="122"/>
      <c r="D176" s="198"/>
      <c r="E176" s="22" t="s">
        <v>46</v>
      </c>
      <c r="F176" s="75" t="s">
        <v>44</v>
      </c>
      <c r="G176" s="23">
        <v>0</v>
      </c>
      <c r="H176" s="23"/>
      <c r="I176" s="22">
        <v>28099</v>
      </c>
      <c r="J176" s="127"/>
      <c r="K176" s="48">
        <f>K174*0.15</f>
        <v>30</v>
      </c>
      <c r="L176" s="23">
        <v>0</v>
      </c>
      <c r="M176" s="124">
        <v>0</v>
      </c>
      <c r="N176" s="124">
        <v>1</v>
      </c>
      <c r="O176" s="75"/>
      <c r="P176" s="101"/>
      <c r="Q176" s="116"/>
    </row>
    <row r="177" spans="2:17" x14ac:dyDescent="0.15">
      <c r="B177" s="163"/>
      <c r="C177" s="122"/>
      <c r="D177" s="196" t="s">
        <v>323</v>
      </c>
      <c r="E177" s="28" t="s">
        <v>184</v>
      </c>
      <c r="F177" s="28" t="s">
        <v>170</v>
      </c>
      <c r="G177" s="23">
        <v>0</v>
      </c>
      <c r="H177" s="23"/>
      <c r="I177" s="22">
        <v>28100</v>
      </c>
      <c r="J177" s="127"/>
      <c r="K177" s="48">
        <v>408</v>
      </c>
      <c r="L177" s="23">
        <v>0</v>
      </c>
      <c r="M177" s="124">
        <v>0.4</v>
      </c>
      <c r="N177" s="124">
        <v>0.6</v>
      </c>
      <c r="O177" s="75"/>
      <c r="P177" s="101"/>
      <c r="Q177" s="116"/>
    </row>
    <row r="178" spans="2:17" x14ac:dyDescent="0.15">
      <c r="B178" s="163"/>
      <c r="C178" s="122"/>
      <c r="D178" s="197"/>
      <c r="E178" s="22" t="s">
        <v>43</v>
      </c>
      <c r="F178" s="75" t="s">
        <v>44</v>
      </c>
      <c r="G178" s="23">
        <v>0</v>
      </c>
      <c r="H178" s="23"/>
      <c r="I178" s="22">
        <v>28100</v>
      </c>
      <c r="J178" s="127"/>
      <c r="K178" s="48">
        <f>K177*0.15</f>
        <v>61.199999999999996</v>
      </c>
      <c r="L178" s="23">
        <v>0</v>
      </c>
      <c r="M178" s="124">
        <v>0.1</v>
      </c>
      <c r="N178" s="124">
        <v>0.9</v>
      </c>
      <c r="O178" s="75"/>
      <c r="P178" s="101"/>
      <c r="Q178" s="116"/>
    </row>
    <row r="179" spans="2:17" x14ac:dyDescent="0.15">
      <c r="B179" s="163"/>
      <c r="C179" s="122"/>
      <c r="D179" s="198"/>
      <c r="E179" s="22" t="s">
        <v>46</v>
      </c>
      <c r="F179" s="75" t="s">
        <v>44</v>
      </c>
      <c r="G179" s="23">
        <v>0</v>
      </c>
      <c r="H179" s="23"/>
      <c r="I179" s="22">
        <v>28100</v>
      </c>
      <c r="J179" s="127"/>
      <c r="K179" s="48">
        <f>K177*0.15</f>
        <v>61.199999999999996</v>
      </c>
      <c r="L179" s="23">
        <v>0</v>
      </c>
      <c r="M179" s="124">
        <v>0</v>
      </c>
      <c r="N179" s="124">
        <v>1</v>
      </c>
      <c r="O179" s="75"/>
      <c r="P179" s="101"/>
      <c r="Q179" s="116"/>
    </row>
    <row r="180" spans="2:17" x14ac:dyDescent="0.15">
      <c r="B180" s="163"/>
      <c r="C180" s="122"/>
      <c r="D180" s="196" t="s">
        <v>324</v>
      </c>
      <c r="E180" s="28" t="s">
        <v>185</v>
      </c>
      <c r="F180" s="28" t="s">
        <v>179</v>
      </c>
      <c r="G180" s="23">
        <v>0</v>
      </c>
      <c r="H180" s="23"/>
      <c r="I180" s="22">
        <v>28101</v>
      </c>
      <c r="J180" s="99"/>
      <c r="K180" s="100">
        <v>1080</v>
      </c>
      <c r="L180" s="124">
        <v>0</v>
      </c>
      <c r="M180" s="124">
        <v>0.05</v>
      </c>
      <c r="N180" s="124">
        <v>0.95</v>
      </c>
      <c r="O180" s="207"/>
      <c r="P180" s="101"/>
      <c r="Q180" s="116"/>
    </row>
    <row r="181" spans="2:17" x14ac:dyDescent="0.15">
      <c r="B181" s="163"/>
      <c r="C181" s="122"/>
      <c r="D181" s="197"/>
      <c r="E181" s="22" t="s">
        <v>43</v>
      </c>
      <c r="F181" s="75" t="s">
        <v>44</v>
      </c>
      <c r="G181" s="23">
        <v>0</v>
      </c>
      <c r="H181" s="23"/>
      <c r="I181" s="22">
        <v>28101</v>
      </c>
      <c r="J181" s="99"/>
      <c r="K181" s="48">
        <f>K180*0.15</f>
        <v>162</v>
      </c>
      <c r="L181" s="124">
        <v>0</v>
      </c>
      <c r="M181" s="124">
        <v>0</v>
      </c>
      <c r="N181" s="124">
        <v>1</v>
      </c>
      <c r="O181" s="194"/>
      <c r="P181" s="101"/>
      <c r="Q181" s="116"/>
    </row>
    <row r="182" spans="2:17" x14ac:dyDescent="0.15">
      <c r="B182" s="163"/>
      <c r="C182" s="122"/>
      <c r="D182" s="198"/>
      <c r="E182" s="22" t="s">
        <v>46</v>
      </c>
      <c r="F182" s="75" t="s">
        <v>44</v>
      </c>
      <c r="G182" s="23">
        <v>0</v>
      </c>
      <c r="H182" s="23"/>
      <c r="I182" s="22">
        <v>28101</v>
      </c>
      <c r="J182" s="99"/>
      <c r="K182" s="48">
        <f>K180*0.15</f>
        <v>162</v>
      </c>
      <c r="L182" s="124">
        <v>0</v>
      </c>
      <c r="M182" s="124">
        <v>0</v>
      </c>
      <c r="N182" s="124">
        <v>1</v>
      </c>
      <c r="O182" s="195"/>
      <c r="P182" s="101"/>
      <c r="Q182" s="116"/>
    </row>
    <row r="183" spans="2:17" x14ac:dyDescent="0.15">
      <c r="B183" s="163"/>
      <c r="C183" s="122"/>
      <c r="D183" s="196" t="s">
        <v>325</v>
      </c>
      <c r="E183" s="28" t="s">
        <v>186</v>
      </c>
      <c r="F183" s="28" t="s">
        <v>173</v>
      </c>
      <c r="G183" s="23">
        <v>0</v>
      </c>
      <c r="H183" s="23"/>
      <c r="I183" s="22">
        <v>28102</v>
      </c>
      <c r="J183" s="99"/>
      <c r="K183" s="100">
        <v>40</v>
      </c>
      <c r="L183" s="124">
        <v>0</v>
      </c>
      <c r="M183" s="124">
        <v>1</v>
      </c>
      <c r="N183" s="124">
        <v>0</v>
      </c>
      <c r="O183" s="207"/>
      <c r="P183" s="101"/>
      <c r="Q183" s="116"/>
    </row>
    <row r="184" spans="2:17" x14ac:dyDescent="0.15">
      <c r="B184" s="163"/>
      <c r="C184" s="122"/>
      <c r="D184" s="197"/>
      <c r="E184" s="22" t="s">
        <v>43</v>
      </c>
      <c r="F184" s="75" t="s">
        <v>44</v>
      </c>
      <c r="G184" s="23">
        <v>0</v>
      </c>
      <c r="H184" s="23"/>
      <c r="I184" s="22">
        <v>28102</v>
      </c>
      <c r="J184" s="99"/>
      <c r="K184" s="48">
        <f>K183*0.15</f>
        <v>6</v>
      </c>
      <c r="L184" s="124">
        <v>0</v>
      </c>
      <c r="M184" s="124">
        <v>0</v>
      </c>
      <c r="N184" s="124">
        <v>1</v>
      </c>
      <c r="O184" s="194"/>
      <c r="P184" s="101"/>
      <c r="Q184" s="116"/>
    </row>
    <row r="185" spans="2:17" x14ac:dyDescent="0.15">
      <c r="B185" s="163"/>
      <c r="C185" s="122"/>
      <c r="D185" s="198"/>
      <c r="E185" s="22" t="s">
        <v>46</v>
      </c>
      <c r="F185" s="75" t="s">
        <v>44</v>
      </c>
      <c r="G185" s="23">
        <v>0</v>
      </c>
      <c r="H185" s="23"/>
      <c r="I185" s="22">
        <v>28102</v>
      </c>
      <c r="J185" s="99"/>
      <c r="K185" s="48">
        <f>K183*0.15</f>
        <v>6</v>
      </c>
      <c r="L185" s="124">
        <v>0</v>
      </c>
      <c r="M185" s="124">
        <v>0</v>
      </c>
      <c r="N185" s="124">
        <v>1</v>
      </c>
      <c r="O185" s="195"/>
      <c r="P185" s="101"/>
      <c r="Q185" s="116"/>
    </row>
    <row r="186" spans="2:17" x14ac:dyDescent="0.15">
      <c r="B186" s="163"/>
      <c r="C186" s="122"/>
      <c r="D186" s="196" t="s">
        <v>326</v>
      </c>
      <c r="E186" s="28" t="s">
        <v>187</v>
      </c>
      <c r="F186" s="28" t="s">
        <v>78</v>
      </c>
      <c r="G186" s="23">
        <v>0</v>
      </c>
      <c r="H186" s="23"/>
      <c r="I186" s="22">
        <v>28103</v>
      </c>
      <c r="J186" s="99"/>
      <c r="K186" s="100">
        <v>80</v>
      </c>
      <c r="L186" s="124">
        <v>0</v>
      </c>
      <c r="M186" s="124">
        <v>0</v>
      </c>
      <c r="N186" s="124">
        <v>1</v>
      </c>
      <c r="O186" s="207"/>
      <c r="P186" s="101"/>
      <c r="Q186" s="116"/>
    </row>
    <row r="187" spans="2:17" x14ac:dyDescent="0.15">
      <c r="B187" s="163"/>
      <c r="C187" s="122"/>
      <c r="D187" s="197"/>
      <c r="E187" s="22" t="s">
        <v>43</v>
      </c>
      <c r="F187" s="75" t="s">
        <v>44</v>
      </c>
      <c r="G187" s="23">
        <v>0</v>
      </c>
      <c r="H187" s="23"/>
      <c r="I187" s="22">
        <v>28103</v>
      </c>
      <c r="J187" s="99"/>
      <c r="K187" s="48">
        <f>K186*0.15</f>
        <v>12</v>
      </c>
      <c r="L187" s="124">
        <v>0</v>
      </c>
      <c r="M187" s="124">
        <v>0</v>
      </c>
      <c r="N187" s="124">
        <v>1</v>
      </c>
      <c r="O187" s="194"/>
      <c r="P187" s="101"/>
      <c r="Q187" s="116"/>
    </row>
    <row r="188" spans="2:17" x14ac:dyDescent="0.15">
      <c r="B188" s="163"/>
      <c r="C188" s="122"/>
      <c r="D188" s="198"/>
      <c r="E188" s="22" t="s">
        <v>46</v>
      </c>
      <c r="F188" s="75" t="s">
        <v>44</v>
      </c>
      <c r="G188" s="23">
        <v>0</v>
      </c>
      <c r="H188" s="23"/>
      <c r="I188" s="22">
        <v>28103</v>
      </c>
      <c r="J188" s="99"/>
      <c r="K188" s="48">
        <f>K186*0.15</f>
        <v>12</v>
      </c>
      <c r="L188" s="124">
        <v>0</v>
      </c>
      <c r="M188" s="124">
        <v>0</v>
      </c>
      <c r="N188" s="124">
        <v>1</v>
      </c>
      <c r="O188" s="195"/>
      <c r="P188" s="101"/>
      <c r="Q188" s="116"/>
    </row>
    <row r="189" spans="2:17" ht="24" x14ac:dyDescent="0.15">
      <c r="B189" s="163"/>
      <c r="C189" s="122"/>
      <c r="D189" s="75" t="s">
        <v>327</v>
      </c>
      <c r="E189" s="22" t="s">
        <v>188</v>
      </c>
      <c r="F189" s="75" t="s">
        <v>170</v>
      </c>
      <c r="G189" s="124">
        <v>0</v>
      </c>
      <c r="H189" s="124"/>
      <c r="I189" s="75"/>
      <c r="J189" s="99"/>
      <c r="K189" s="130">
        <v>0</v>
      </c>
      <c r="L189" s="124">
        <v>0</v>
      </c>
      <c r="M189" s="124">
        <v>0</v>
      </c>
      <c r="N189" s="124">
        <v>1</v>
      </c>
      <c r="O189" s="75"/>
      <c r="P189" s="101"/>
      <c r="Q189" s="116"/>
    </row>
    <row r="190" spans="2:17" ht="36" x14ac:dyDescent="0.15">
      <c r="B190" s="163"/>
      <c r="C190" s="122"/>
      <c r="D190" s="18" t="s">
        <v>328</v>
      </c>
      <c r="E190" s="19" t="s">
        <v>189</v>
      </c>
      <c r="F190" s="18" t="s">
        <v>170</v>
      </c>
      <c r="G190" s="123">
        <v>1</v>
      </c>
      <c r="H190" s="123"/>
      <c r="I190" s="18"/>
      <c r="J190" s="102"/>
      <c r="K190" s="103">
        <v>10</v>
      </c>
      <c r="L190" s="123">
        <v>0</v>
      </c>
      <c r="M190" s="123">
        <v>1</v>
      </c>
      <c r="N190" s="123">
        <v>0</v>
      </c>
      <c r="O190" s="18"/>
      <c r="P190" s="46"/>
      <c r="Q190" s="117"/>
    </row>
    <row r="191" spans="2:17" ht="24" x14ac:dyDescent="0.15">
      <c r="B191" s="163"/>
      <c r="C191" s="122"/>
      <c r="D191" s="19" t="s">
        <v>329</v>
      </c>
      <c r="E191" s="19" t="s">
        <v>190</v>
      </c>
      <c r="F191" s="18" t="s">
        <v>80</v>
      </c>
      <c r="G191" s="123">
        <v>1</v>
      </c>
      <c r="H191" s="123"/>
      <c r="I191" s="18"/>
      <c r="J191" s="102"/>
      <c r="K191" s="103">
        <v>6</v>
      </c>
      <c r="L191" s="123">
        <v>0</v>
      </c>
      <c r="M191" s="123">
        <v>1</v>
      </c>
      <c r="N191" s="123">
        <v>0</v>
      </c>
      <c r="O191" s="18"/>
      <c r="P191" s="46"/>
      <c r="Q191" s="117"/>
    </row>
    <row r="192" spans="2:17" x14ac:dyDescent="0.15">
      <c r="B192" s="163"/>
      <c r="C192" s="122"/>
      <c r="D192" s="75" t="s">
        <v>330</v>
      </c>
      <c r="E192" s="22" t="s">
        <v>191</v>
      </c>
      <c r="F192" s="75" t="s">
        <v>170</v>
      </c>
      <c r="G192" s="124"/>
      <c r="H192" s="124"/>
      <c r="I192" s="75"/>
      <c r="J192" s="99"/>
      <c r="K192" s="100">
        <v>40</v>
      </c>
      <c r="L192" s="124">
        <v>0</v>
      </c>
      <c r="M192" s="124">
        <v>0.5</v>
      </c>
      <c r="N192" s="124">
        <v>0.5</v>
      </c>
      <c r="O192" s="75"/>
      <c r="P192" s="101"/>
      <c r="Q192" s="116"/>
    </row>
    <row r="193" spans="2:17" x14ac:dyDescent="0.15">
      <c r="B193" s="163"/>
      <c r="C193" s="122"/>
      <c r="D193" s="75"/>
      <c r="E193" s="22"/>
      <c r="F193" s="75"/>
      <c r="G193" s="124"/>
      <c r="H193" s="124"/>
      <c r="I193" s="75"/>
      <c r="J193" s="99"/>
      <c r="K193" s="100"/>
      <c r="L193" s="124"/>
      <c r="M193" s="124"/>
      <c r="N193" s="124"/>
      <c r="O193" s="75"/>
      <c r="P193" s="101"/>
      <c r="Q193" s="116"/>
    </row>
    <row r="194" spans="2:17" x14ac:dyDescent="0.15">
      <c r="B194" s="163"/>
      <c r="C194" s="122"/>
      <c r="D194" s="75"/>
      <c r="E194" s="22"/>
      <c r="F194" s="75"/>
      <c r="G194" s="124"/>
      <c r="H194" s="124"/>
      <c r="I194" s="75"/>
      <c r="J194" s="99"/>
      <c r="K194" s="100"/>
      <c r="L194" s="124"/>
      <c r="M194" s="124"/>
      <c r="N194" s="124"/>
      <c r="O194" s="75"/>
      <c r="P194" s="101"/>
      <c r="Q194" s="116"/>
    </row>
    <row r="195" spans="2:17" x14ac:dyDescent="0.15">
      <c r="B195" s="163"/>
      <c r="C195" s="122"/>
      <c r="D195" s="75"/>
      <c r="E195" s="22"/>
      <c r="F195" s="75"/>
      <c r="G195" s="124"/>
      <c r="H195" s="124"/>
      <c r="I195" s="75"/>
      <c r="J195" s="99"/>
      <c r="K195" s="100"/>
      <c r="L195" s="124"/>
      <c r="M195" s="124"/>
      <c r="N195" s="124"/>
      <c r="O195" s="75"/>
      <c r="P195" s="101"/>
      <c r="Q195" s="116"/>
    </row>
    <row r="196" spans="2:17" x14ac:dyDescent="0.15">
      <c r="B196" s="163"/>
      <c r="C196" s="122"/>
      <c r="D196" s="75"/>
      <c r="E196" s="22"/>
      <c r="F196" s="75"/>
      <c r="G196" s="124"/>
      <c r="H196" s="124"/>
      <c r="I196" s="75"/>
      <c r="J196" s="99"/>
      <c r="K196" s="100"/>
      <c r="L196" s="124"/>
      <c r="M196" s="124"/>
      <c r="N196" s="124"/>
      <c r="O196" s="75"/>
      <c r="P196" s="101"/>
      <c r="Q196" s="116"/>
    </row>
    <row r="197" spans="2:17" x14ac:dyDescent="0.15">
      <c r="B197" s="163"/>
      <c r="C197" s="122"/>
      <c r="D197" s="75"/>
      <c r="E197" s="22"/>
      <c r="F197" s="75"/>
      <c r="G197" s="124"/>
      <c r="H197" s="124"/>
      <c r="I197" s="75"/>
      <c r="J197" s="99"/>
      <c r="K197" s="100"/>
      <c r="L197" s="124"/>
      <c r="M197" s="124"/>
      <c r="N197" s="124"/>
      <c r="O197" s="75"/>
      <c r="P197" s="101"/>
      <c r="Q197" s="116"/>
    </row>
    <row r="198" spans="2:17" x14ac:dyDescent="0.15">
      <c r="B198" s="163"/>
      <c r="C198" s="122"/>
      <c r="D198" s="75"/>
      <c r="E198" s="22"/>
      <c r="F198" s="75"/>
      <c r="G198" s="124"/>
      <c r="H198" s="124"/>
      <c r="I198" s="75"/>
      <c r="J198" s="99"/>
      <c r="K198" s="100"/>
      <c r="L198" s="124"/>
      <c r="M198" s="124"/>
      <c r="N198" s="124"/>
      <c r="O198" s="75"/>
      <c r="P198" s="101"/>
      <c r="Q198" s="116"/>
    </row>
    <row r="199" spans="2:17" x14ac:dyDescent="0.15">
      <c r="B199" s="163"/>
      <c r="C199" s="122"/>
      <c r="D199" s="75"/>
      <c r="E199" s="22"/>
      <c r="F199" s="75"/>
      <c r="G199" s="124"/>
      <c r="H199" s="124"/>
      <c r="I199" s="75"/>
      <c r="J199" s="99"/>
      <c r="K199" s="100"/>
      <c r="L199" s="124"/>
      <c r="M199" s="124"/>
      <c r="N199" s="124"/>
      <c r="O199" s="75"/>
      <c r="P199" s="101"/>
      <c r="Q199" s="116"/>
    </row>
    <row r="200" spans="2:17" x14ac:dyDescent="0.15">
      <c r="B200" s="163"/>
      <c r="C200" s="122"/>
      <c r="D200" s="75"/>
      <c r="E200" s="22"/>
      <c r="F200" s="75"/>
      <c r="G200" s="124"/>
      <c r="H200" s="124"/>
      <c r="I200" s="75"/>
      <c r="J200" s="99"/>
      <c r="K200" s="100"/>
      <c r="L200" s="124"/>
      <c r="M200" s="124"/>
      <c r="N200" s="124"/>
      <c r="O200" s="75"/>
      <c r="P200" s="101"/>
      <c r="Q200" s="116"/>
    </row>
    <row r="201" spans="2:17" x14ac:dyDescent="0.15">
      <c r="B201" s="164"/>
      <c r="C201" s="122"/>
      <c r="D201" s="78"/>
      <c r="E201" s="78"/>
      <c r="F201" s="78"/>
      <c r="G201" s="132"/>
      <c r="H201" s="132"/>
      <c r="I201" s="78"/>
      <c r="J201" s="140"/>
      <c r="K201" s="141"/>
      <c r="L201" s="132"/>
      <c r="M201" s="132"/>
      <c r="N201" s="132"/>
      <c r="O201" s="78"/>
      <c r="P201" s="142"/>
      <c r="Q201" s="150"/>
    </row>
    <row r="202" spans="2:17" x14ac:dyDescent="0.15">
      <c r="B202" s="165" t="s">
        <v>192</v>
      </c>
      <c r="C202" s="133" t="s">
        <v>193</v>
      </c>
      <c r="D202" s="133" t="s">
        <v>183</v>
      </c>
      <c r="E202" s="133" t="s">
        <v>194</v>
      </c>
      <c r="F202" s="70" t="s">
        <v>195</v>
      </c>
      <c r="G202" s="121"/>
      <c r="H202" s="121"/>
      <c r="I202" s="70">
        <v>27946</v>
      </c>
      <c r="J202" s="52"/>
      <c r="K202" s="143" t="s">
        <v>196</v>
      </c>
      <c r="L202" s="121"/>
      <c r="M202" s="121"/>
      <c r="N202" s="121"/>
      <c r="O202" s="70"/>
      <c r="P202" s="144"/>
      <c r="Q202" s="151"/>
    </row>
    <row r="203" spans="2:17" x14ac:dyDescent="0.15">
      <c r="B203" s="166"/>
      <c r="C203" s="134" t="s">
        <v>197</v>
      </c>
      <c r="D203" s="134" t="s">
        <v>183</v>
      </c>
      <c r="E203" s="134" t="s">
        <v>198</v>
      </c>
      <c r="F203" s="22" t="s">
        <v>80</v>
      </c>
      <c r="G203" s="23"/>
      <c r="H203" s="23"/>
      <c r="I203" s="22">
        <v>27950</v>
      </c>
      <c r="J203" s="55">
        <v>44330</v>
      </c>
      <c r="K203" s="48" t="s">
        <v>199</v>
      </c>
      <c r="L203" s="23"/>
      <c r="M203" s="23"/>
      <c r="N203" s="23"/>
      <c r="O203" s="22"/>
      <c r="P203" s="49"/>
      <c r="Q203" s="62"/>
    </row>
    <row r="204" spans="2:17" ht="16.5" customHeight="1" x14ac:dyDescent="0.15">
      <c r="B204" s="166"/>
      <c r="C204" s="134" t="s">
        <v>200</v>
      </c>
      <c r="D204" s="134" t="s">
        <v>183</v>
      </c>
      <c r="E204" s="134" t="s">
        <v>201</v>
      </c>
      <c r="F204" s="22" t="s">
        <v>195</v>
      </c>
      <c r="G204" s="135"/>
      <c r="H204" s="135"/>
      <c r="I204" s="49">
        <v>27955</v>
      </c>
      <c r="J204" s="49"/>
      <c r="K204" s="145"/>
      <c r="L204" s="135"/>
      <c r="M204" s="135"/>
      <c r="N204" s="135"/>
      <c r="O204" s="49"/>
      <c r="P204" s="49"/>
      <c r="Q204" s="62"/>
    </row>
    <row r="205" spans="2:17" ht="16.5" customHeight="1" x14ac:dyDescent="0.15">
      <c r="B205" s="166"/>
      <c r="C205" s="134" t="s">
        <v>202</v>
      </c>
      <c r="D205" s="134" t="s">
        <v>183</v>
      </c>
      <c r="E205" s="134" t="s">
        <v>203</v>
      </c>
      <c r="F205" s="22" t="s">
        <v>76</v>
      </c>
      <c r="G205" s="135"/>
      <c r="H205" s="135"/>
      <c r="I205" s="49">
        <v>28026</v>
      </c>
      <c r="J205" s="146">
        <v>44337</v>
      </c>
      <c r="K205" s="145">
        <v>40</v>
      </c>
      <c r="L205" s="135"/>
      <c r="M205" s="135"/>
      <c r="N205" s="135"/>
      <c r="O205" s="49"/>
      <c r="P205" s="49"/>
      <c r="Q205" s="62"/>
    </row>
    <row r="206" spans="2:17" ht="16.5" customHeight="1" x14ac:dyDescent="0.15">
      <c r="B206" s="166"/>
      <c r="C206" s="134" t="s">
        <v>204</v>
      </c>
      <c r="D206" s="134" t="s">
        <v>183</v>
      </c>
      <c r="E206" s="134" t="s">
        <v>205</v>
      </c>
      <c r="F206" s="22" t="s">
        <v>78</v>
      </c>
      <c r="G206" s="135"/>
      <c r="H206" s="135"/>
      <c r="I206" s="49">
        <v>28027</v>
      </c>
      <c r="J206" s="146">
        <v>44337</v>
      </c>
      <c r="K206" s="145">
        <v>40</v>
      </c>
      <c r="L206" s="135"/>
      <c r="M206" s="135"/>
      <c r="N206" s="135"/>
      <c r="O206" s="49"/>
      <c r="P206" s="49"/>
      <c r="Q206" s="62"/>
    </row>
    <row r="207" spans="2:17" ht="16.5" customHeight="1" x14ac:dyDescent="0.15">
      <c r="B207" s="166"/>
      <c r="C207" s="134" t="s">
        <v>206</v>
      </c>
      <c r="D207" s="134" t="s">
        <v>183</v>
      </c>
      <c r="E207" s="134" t="s">
        <v>207</v>
      </c>
      <c r="F207" s="22" t="s">
        <v>179</v>
      </c>
      <c r="G207" s="135"/>
      <c r="H207" s="135"/>
      <c r="I207" s="49">
        <v>28021</v>
      </c>
      <c r="J207" s="146">
        <v>44330</v>
      </c>
      <c r="K207" s="145">
        <v>8</v>
      </c>
      <c r="L207" s="135"/>
      <c r="M207" s="135"/>
      <c r="N207" s="135"/>
      <c r="O207" s="49"/>
      <c r="P207" s="49"/>
      <c r="Q207" s="62"/>
    </row>
    <row r="208" spans="2:17" ht="16.5" customHeight="1" x14ac:dyDescent="0.15">
      <c r="B208" s="166"/>
      <c r="C208" s="134" t="s">
        <v>206</v>
      </c>
      <c r="D208" s="134" t="s">
        <v>183</v>
      </c>
      <c r="E208" s="134" t="s">
        <v>207</v>
      </c>
      <c r="F208" s="22" t="s">
        <v>138</v>
      </c>
      <c r="G208" s="135"/>
      <c r="H208" s="135"/>
      <c r="I208" s="49">
        <v>28022</v>
      </c>
      <c r="J208" s="146">
        <v>44330</v>
      </c>
      <c r="K208" s="145">
        <v>8</v>
      </c>
      <c r="L208" s="135"/>
      <c r="M208" s="135"/>
      <c r="N208" s="135"/>
      <c r="O208" s="49"/>
      <c r="P208" s="49"/>
      <c r="Q208" s="62"/>
    </row>
    <row r="209" spans="2:17" ht="16.5" customHeight="1" x14ac:dyDescent="0.15">
      <c r="B209" s="166"/>
      <c r="C209" s="134" t="s">
        <v>206</v>
      </c>
      <c r="D209" s="134" t="s">
        <v>183</v>
      </c>
      <c r="E209" s="134" t="s">
        <v>207</v>
      </c>
      <c r="F209" s="22" t="s">
        <v>78</v>
      </c>
      <c r="G209" s="135"/>
      <c r="H209" s="135"/>
      <c r="I209" s="49">
        <v>28023</v>
      </c>
      <c r="J209" s="146">
        <v>44330</v>
      </c>
      <c r="K209" s="145">
        <v>8</v>
      </c>
      <c r="L209" s="135"/>
      <c r="M209" s="135"/>
      <c r="N209" s="135"/>
      <c r="O209" s="49"/>
      <c r="P209" s="49"/>
      <c r="Q209" s="62"/>
    </row>
    <row r="210" spans="2:17" ht="16.5" customHeight="1" x14ac:dyDescent="0.15">
      <c r="B210" s="166"/>
      <c r="C210" s="134" t="s">
        <v>206</v>
      </c>
      <c r="D210" s="134" t="s">
        <v>183</v>
      </c>
      <c r="E210" s="134" t="s">
        <v>207</v>
      </c>
      <c r="F210" s="22" t="s">
        <v>76</v>
      </c>
      <c r="G210" s="135"/>
      <c r="H210" s="135"/>
      <c r="I210" s="49">
        <v>28024</v>
      </c>
      <c r="J210" s="146">
        <v>44330</v>
      </c>
      <c r="K210" s="145">
        <v>8</v>
      </c>
      <c r="L210" s="135"/>
      <c r="M210" s="135"/>
      <c r="N210" s="135"/>
      <c r="O210" s="49"/>
      <c r="P210" s="49"/>
      <c r="Q210" s="62"/>
    </row>
    <row r="211" spans="2:17" ht="16.5" customHeight="1" x14ac:dyDescent="0.15">
      <c r="B211" s="166"/>
      <c r="C211" s="134" t="s">
        <v>206</v>
      </c>
      <c r="D211" s="134" t="s">
        <v>183</v>
      </c>
      <c r="E211" s="134" t="s">
        <v>207</v>
      </c>
      <c r="F211" s="22" t="s">
        <v>170</v>
      </c>
      <c r="G211" s="135"/>
      <c r="H211" s="135"/>
      <c r="I211" s="49">
        <v>28020</v>
      </c>
      <c r="J211" s="146">
        <v>44330</v>
      </c>
      <c r="K211" s="145">
        <v>8</v>
      </c>
      <c r="L211" s="135"/>
      <c r="M211" s="135"/>
      <c r="N211" s="135"/>
      <c r="O211" s="49"/>
      <c r="P211" s="49"/>
      <c r="Q211" s="62"/>
    </row>
    <row r="212" spans="2:17" ht="16.5" customHeight="1" x14ac:dyDescent="0.15">
      <c r="B212" s="166"/>
      <c r="C212" s="134"/>
      <c r="D212" s="134"/>
      <c r="E212" s="134"/>
      <c r="F212" s="22"/>
      <c r="G212" s="135"/>
      <c r="H212" s="135"/>
      <c r="I212" s="49"/>
      <c r="J212" s="146"/>
      <c r="K212" s="145"/>
      <c r="L212" s="135"/>
      <c r="M212" s="135"/>
      <c r="N212" s="135"/>
      <c r="O212" s="49"/>
      <c r="P212" s="49"/>
      <c r="Q212" s="62"/>
    </row>
    <row r="213" spans="2:17" ht="16.5" customHeight="1" x14ac:dyDescent="0.15">
      <c r="B213" s="166"/>
      <c r="C213" s="134"/>
      <c r="D213" s="134"/>
      <c r="E213" s="134"/>
      <c r="F213" s="22"/>
      <c r="G213" s="135"/>
      <c r="H213" s="135"/>
      <c r="I213" s="49"/>
      <c r="J213" s="146"/>
      <c r="K213" s="145"/>
      <c r="L213" s="135"/>
      <c r="M213" s="135"/>
      <c r="N213" s="135"/>
      <c r="O213" s="49"/>
      <c r="P213" s="49"/>
      <c r="Q213" s="62"/>
    </row>
    <row r="214" spans="2:17" ht="16.5" customHeight="1" x14ac:dyDescent="0.15">
      <c r="B214" s="166"/>
      <c r="C214" s="134"/>
      <c r="D214" s="134"/>
      <c r="E214" s="134"/>
      <c r="F214" s="22"/>
      <c r="G214" s="135"/>
      <c r="H214" s="135"/>
      <c r="I214" s="49"/>
      <c r="J214" s="49"/>
      <c r="K214" s="145"/>
      <c r="L214" s="135"/>
      <c r="M214" s="135"/>
      <c r="N214" s="135"/>
      <c r="O214" s="49"/>
      <c r="P214" s="49"/>
      <c r="Q214" s="62"/>
    </row>
    <row r="215" spans="2:17" ht="16.5" customHeight="1" x14ac:dyDescent="0.15">
      <c r="B215" s="166"/>
      <c r="C215" s="22"/>
      <c r="D215" s="22"/>
      <c r="E215" s="22"/>
      <c r="F215" s="22"/>
      <c r="G215" s="135"/>
      <c r="H215" s="135"/>
      <c r="I215" s="49"/>
      <c r="J215" s="49"/>
      <c r="K215" s="145"/>
      <c r="L215" s="135"/>
      <c r="M215" s="135"/>
      <c r="N215" s="135"/>
      <c r="O215" s="49"/>
      <c r="P215" s="49"/>
      <c r="Q215" s="62"/>
    </row>
    <row r="216" spans="2:17" ht="16.5" customHeight="1" x14ac:dyDescent="0.15">
      <c r="B216" s="167"/>
      <c r="C216" s="73"/>
      <c r="D216" s="73"/>
      <c r="E216" s="73"/>
      <c r="F216" s="73"/>
      <c r="G216" s="136"/>
      <c r="H216" s="136"/>
      <c r="I216" s="98"/>
      <c r="J216" s="98"/>
      <c r="K216" s="147"/>
      <c r="L216" s="136"/>
      <c r="M216" s="136"/>
      <c r="N216" s="136"/>
      <c r="O216" s="98"/>
      <c r="P216" s="98"/>
      <c r="Q216" s="115"/>
    </row>
    <row r="217" spans="2:17" ht="16.5" customHeight="1" x14ac:dyDescent="0.15">
      <c r="B217" s="137"/>
      <c r="C217" s="75"/>
      <c r="D217" s="75"/>
      <c r="E217" s="75"/>
      <c r="F217" s="75"/>
      <c r="G217" s="138"/>
      <c r="H217" s="138"/>
      <c r="I217" s="101"/>
      <c r="J217" s="101"/>
      <c r="K217" s="148"/>
      <c r="L217" s="138"/>
      <c r="M217" s="138"/>
      <c r="N217" s="138"/>
      <c r="O217" s="101"/>
      <c r="P217" s="101"/>
      <c r="Q217" s="101"/>
    </row>
    <row r="218" spans="2:17" ht="16.5" customHeight="1" x14ac:dyDescent="0.15">
      <c r="B218" s="139"/>
      <c r="C218" s="22"/>
      <c r="D218" s="22"/>
      <c r="E218" s="22"/>
      <c r="F218" s="22"/>
      <c r="G218" s="135"/>
      <c r="H218" s="135"/>
      <c r="I218" s="49"/>
      <c r="J218" s="49"/>
      <c r="K218" s="145"/>
      <c r="L218" s="135"/>
      <c r="M218" s="135"/>
      <c r="N218" s="135"/>
      <c r="O218" s="49"/>
      <c r="P218" s="49"/>
      <c r="Q218" s="49"/>
    </row>
    <row r="219" spans="2:17" ht="16.5" customHeight="1" x14ac:dyDescent="0.15">
      <c r="B219" s="139"/>
      <c r="C219" s="22"/>
      <c r="D219" s="22"/>
      <c r="E219" s="22"/>
      <c r="F219" s="22"/>
      <c r="G219" s="135"/>
      <c r="H219" s="135"/>
      <c r="I219" s="49"/>
      <c r="J219" s="49"/>
      <c r="K219" s="145"/>
      <c r="L219" s="135"/>
      <c r="M219" s="135"/>
      <c r="N219" s="135"/>
      <c r="O219" s="49"/>
      <c r="P219" s="49"/>
      <c r="Q219" s="49"/>
    </row>
    <row r="220" spans="2:17" ht="16.5" customHeight="1" x14ac:dyDescent="0.15">
      <c r="B220" s="139"/>
      <c r="C220" s="22"/>
      <c r="D220" s="22"/>
      <c r="E220" s="22"/>
      <c r="F220" s="22"/>
      <c r="G220" s="135"/>
      <c r="H220" s="135"/>
      <c r="I220" s="49"/>
      <c r="J220" s="49"/>
      <c r="K220" s="145"/>
      <c r="L220" s="135"/>
      <c r="M220" s="135"/>
      <c r="N220" s="135"/>
      <c r="O220" s="49"/>
      <c r="P220" s="49"/>
      <c r="Q220" s="49"/>
    </row>
    <row r="223" spans="2:17" x14ac:dyDescent="0.15">
      <c r="K223" s="13" t="s">
        <v>208</v>
      </c>
    </row>
    <row r="224" spans="2:17" x14ac:dyDescent="0.15">
      <c r="J224" s="13" t="s">
        <v>209</v>
      </c>
      <c r="K224" s="149">
        <f>SUM(K11:K222)/166</f>
        <v>53.744578313253001</v>
      </c>
      <c r="L224" s="149">
        <f>SUMPRODUCT(K11:K222,L11:L222)/166</f>
        <v>13.379173838209983</v>
      </c>
      <c r="M224" s="149">
        <f>SUMPRODUCT(K11:K222,M11:M222)/166</f>
        <v>10.98419965576592</v>
      </c>
      <c r="N224" s="149">
        <f>SUMPRODUCT(K11:K222,N11:N222)/166</f>
        <v>21.824578313253017</v>
      </c>
    </row>
  </sheetData>
  <protectedRanges>
    <protectedRange sqref="E106:E149" name="可以改内容_3_3" securityDescriptor="O:WDG:WDD:(A;;CC;;;S-1-5-21-1141706734-4127405651-890567203-513)"/>
    <protectedRange sqref="D106:D149" name="可以改内容_3" securityDescriptor="O:WDG:WDD:(A;;CC;;;S-1-5-21-1141706734-4127405651-890567203-513)"/>
  </protectedRanges>
  <autoFilter ref="B10:S216"/>
  <mergeCells count="65">
    <mergeCell ref="P15:P16"/>
    <mergeCell ref="Q72:Q73"/>
    <mergeCell ref="D186:D188"/>
    <mergeCell ref="K72:K73"/>
    <mergeCell ref="K74:K75"/>
    <mergeCell ref="O68:O69"/>
    <mergeCell ref="O70:O71"/>
    <mergeCell ref="O72:O73"/>
    <mergeCell ref="O74:O75"/>
    <mergeCell ref="O159:O161"/>
    <mergeCell ref="O162:O164"/>
    <mergeCell ref="O168:O170"/>
    <mergeCell ref="O180:O182"/>
    <mergeCell ref="O183:O185"/>
    <mergeCell ref="O186:O188"/>
    <mergeCell ref="D171:D173"/>
    <mergeCell ref="D174:D176"/>
    <mergeCell ref="D177:D179"/>
    <mergeCell ref="D180:D182"/>
    <mergeCell ref="D183:D185"/>
    <mergeCell ref="D156:D158"/>
    <mergeCell ref="D159:D161"/>
    <mergeCell ref="D162:D164"/>
    <mergeCell ref="D165:D167"/>
    <mergeCell ref="D168:D170"/>
    <mergeCell ref="D124:D135"/>
    <mergeCell ref="D136:D139"/>
    <mergeCell ref="D140:D141"/>
    <mergeCell ref="D142:D149"/>
    <mergeCell ref="D153:D155"/>
    <mergeCell ref="D83:D92"/>
    <mergeCell ref="D93:D97"/>
    <mergeCell ref="D99:D100"/>
    <mergeCell ref="D106:D115"/>
    <mergeCell ref="D116:D123"/>
    <mergeCell ref="D64:D67"/>
    <mergeCell ref="D68:D69"/>
    <mergeCell ref="D70:D71"/>
    <mergeCell ref="D72:D75"/>
    <mergeCell ref="D78:D81"/>
    <mergeCell ref="B202:B216"/>
    <mergeCell ref="C11:C22"/>
    <mergeCell ref="C23:C29"/>
    <mergeCell ref="C30:C32"/>
    <mergeCell ref="C33:C49"/>
    <mergeCell ref="C50:C67"/>
    <mergeCell ref="C68:C77"/>
    <mergeCell ref="C78:C150"/>
    <mergeCell ref="C151:C158"/>
    <mergeCell ref="B10:E10"/>
    <mergeCell ref="B11:B67"/>
    <mergeCell ref="B68:B77"/>
    <mergeCell ref="B78:B150"/>
    <mergeCell ref="B151:B201"/>
    <mergeCell ref="D11:D12"/>
    <mergeCell ref="D13:D14"/>
    <mergeCell ref="D15:D16"/>
    <mergeCell ref="D17:D18"/>
    <mergeCell ref="D19:D20"/>
    <mergeCell ref="D23:D27"/>
    <mergeCell ref="D33:D39"/>
    <mergeCell ref="D40:D45"/>
    <mergeCell ref="D46:D49"/>
    <mergeCell ref="D50:D56"/>
    <mergeCell ref="D57:D63"/>
  </mergeCells>
  <phoneticPr fontId="8" type="noConversion"/>
  <conditionalFormatting sqref="H28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H33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H40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H50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H57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K106:N149">
    <cfRule type="cellIs" dxfId="0" priority="3" stopIfTrue="1" operator="notEqual">
      <formula>INDIRECT("Dummy_for_Comparison1!"&amp;ADDRESS(ROW(),COLUMN()))</formula>
    </cfRule>
  </conditionalFormatting>
  <dataValidations count="1">
    <dataValidation type="list" allowBlank="1" showInputMessage="1" showErrorMessage="1" sqref="F104 F105 F11:F103 F106:F220">
      <formula1>$S$1:$S$26</formula1>
    </dataValidation>
  </dataValidations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Z73"/>
  <sheetViews>
    <sheetView workbookViewId="0">
      <selection activeCell="A24" sqref="A24"/>
    </sheetView>
  </sheetViews>
  <sheetFormatPr defaultColWidth="9" defaultRowHeight="16.5" customHeight="1" x14ac:dyDescent="0.15"/>
  <cols>
    <col min="1" max="1" width="7.375" style="1" customWidth="1"/>
    <col min="2" max="2" width="17.125" style="1" customWidth="1"/>
    <col min="3" max="3" width="11.375" style="1" customWidth="1"/>
    <col min="4" max="4" width="7.125" style="1" customWidth="1"/>
    <col min="5" max="5" width="65" style="1" customWidth="1"/>
    <col min="6" max="6" width="20" style="1" customWidth="1"/>
    <col min="7" max="7" width="15.5" style="1" customWidth="1"/>
    <col min="8" max="8" width="15.875" style="1" customWidth="1"/>
    <col min="9" max="9" width="105.875" style="1" customWidth="1"/>
    <col min="10" max="10" width="23.125" style="1" customWidth="1"/>
    <col min="11" max="11" width="25.875" style="1" customWidth="1"/>
    <col min="12" max="12" width="17.125" style="1" customWidth="1"/>
    <col min="13" max="13" width="5.5" style="1" customWidth="1"/>
    <col min="14" max="14" width="24.875" style="1" customWidth="1"/>
    <col min="15" max="15" width="11.125" style="1" customWidth="1"/>
    <col min="16" max="16" width="9.125" style="1" customWidth="1"/>
    <col min="17" max="17" width="13.125" style="1" customWidth="1"/>
    <col min="18" max="18" width="5.5" style="1" customWidth="1"/>
    <col min="19" max="19" width="9.125" style="1" customWidth="1"/>
    <col min="20" max="21" width="17.125" style="1" customWidth="1"/>
    <col min="22" max="22" width="30.5" style="1" customWidth="1"/>
    <col min="23" max="23" width="16.625" style="1" customWidth="1"/>
    <col min="24" max="24" width="10.875" style="1" customWidth="1"/>
    <col min="25" max="25" width="17.625" style="1" customWidth="1"/>
    <col min="26" max="26" width="13.375" style="1" customWidth="1"/>
    <col min="27" max="27" width="25.875" style="1" customWidth="1"/>
    <col min="28" max="28" width="20.875" style="1" customWidth="1"/>
    <col min="29" max="29" width="16.625" style="1" customWidth="1"/>
    <col min="30" max="30" width="12" style="1" customWidth="1"/>
    <col min="31" max="31" width="15.125" style="1" customWidth="1"/>
    <col min="32" max="32" width="11.125" style="1" customWidth="1"/>
    <col min="33" max="33" width="18.125" style="1" customWidth="1"/>
    <col min="34" max="34" width="12.875" style="1" customWidth="1"/>
    <col min="35" max="35" width="11.875" style="1" customWidth="1"/>
    <col min="36" max="36" width="9.125" style="1" customWidth="1"/>
    <col min="37" max="37" width="14.125" style="1" customWidth="1"/>
    <col min="38" max="38" width="15.125" style="1" customWidth="1"/>
    <col min="39" max="39" width="18.125" style="1" customWidth="1"/>
    <col min="40" max="40" width="13.875" style="1" customWidth="1"/>
    <col min="41" max="41" width="14.875" style="1" customWidth="1"/>
    <col min="42" max="42" width="12.875" style="1" customWidth="1"/>
    <col min="43" max="43" width="10.625" style="1" customWidth="1"/>
    <col min="44" max="44" width="15.125" style="1" customWidth="1"/>
    <col min="45" max="45" width="17.875" style="1" customWidth="1"/>
    <col min="46" max="46" width="27.125" style="1" customWidth="1"/>
    <col min="47" max="47" width="32.875" style="1" customWidth="1"/>
    <col min="48" max="48" width="14.125" style="1" customWidth="1"/>
    <col min="49" max="49" width="12.875" style="1" customWidth="1"/>
    <col min="50" max="50" width="29.125" style="1" customWidth="1"/>
    <col min="51" max="51" width="18" style="1" customWidth="1"/>
    <col min="52" max="52" width="20.125" style="1" customWidth="1"/>
    <col min="53" max="53" width="29.125" style="1" customWidth="1"/>
    <col min="54" max="54" width="18" style="1" customWidth="1"/>
    <col min="55" max="55" width="28" style="1" customWidth="1"/>
    <col min="56" max="56" width="22.625" style="1" customWidth="1"/>
    <col min="57" max="57" width="9" style="1"/>
    <col min="58" max="58" width="14.125" style="1" customWidth="1"/>
    <col min="59" max="59" width="21.5" style="1" customWidth="1"/>
    <col min="60" max="60" width="26.875" style="1" customWidth="1"/>
    <col min="61" max="61" width="20.375" style="1" customWidth="1"/>
    <col min="62" max="62" width="17.125" style="1" customWidth="1"/>
    <col min="63" max="63" width="18.625" style="1" customWidth="1"/>
    <col min="64" max="64" width="19.875" style="1" customWidth="1"/>
    <col min="65" max="65" width="18.125" style="1" customWidth="1"/>
    <col min="66" max="66" width="14" style="1" customWidth="1"/>
    <col min="67" max="67" width="24.375" style="1" customWidth="1"/>
    <col min="68" max="68" width="18" style="1" customWidth="1"/>
    <col min="69" max="69" width="18.375" style="1" customWidth="1"/>
    <col min="70" max="70" width="23.625" style="1" customWidth="1"/>
    <col min="71" max="71" width="19.875" style="1" customWidth="1"/>
    <col min="72" max="72" width="23.875" style="1" customWidth="1"/>
    <col min="73" max="73" width="18.875" style="1" customWidth="1"/>
    <col min="74" max="74" width="18.625" style="1" customWidth="1"/>
    <col min="75" max="75" width="21.125" style="1" customWidth="1"/>
    <col min="76" max="76" width="21.875" style="1" customWidth="1"/>
    <col min="77" max="77" width="14.625" style="1" customWidth="1"/>
    <col min="78" max="78" width="172.5" style="1" customWidth="1"/>
    <col min="79" max="79" width="20.875" style="1" customWidth="1"/>
    <col min="80" max="80" width="24.625" style="1" customWidth="1"/>
    <col min="81" max="81" width="20" style="1" customWidth="1"/>
    <col min="82" max="82" width="5.5" style="1" customWidth="1"/>
    <col min="83" max="16384" width="9" style="1"/>
  </cols>
  <sheetData>
    <row r="1" spans="1:78" ht="16.5" customHeight="1" x14ac:dyDescent="0.15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</row>
    <row r="2" spans="1:78" ht="16.5" customHeight="1" x14ac:dyDescent="0.15">
      <c r="A2" s="1">
        <v>23855</v>
      </c>
      <c r="B2" s="2" t="s">
        <v>218</v>
      </c>
      <c r="C2" s="1" t="s">
        <v>219</v>
      </c>
      <c r="D2" s="1" t="s">
        <v>220</v>
      </c>
      <c r="E2" s="1" t="s">
        <v>221</v>
      </c>
      <c r="F2" s="1" t="s">
        <v>222</v>
      </c>
      <c r="G2" s="1">
        <v>100</v>
      </c>
      <c r="H2" s="2">
        <v>44071</v>
      </c>
      <c r="L2" s="3"/>
      <c r="O2" s="2"/>
      <c r="T2" s="3"/>
    </row>
    <row r="3" spans="1:78" ht="16.5" customHeight="1" x14ac:dyDescent="0.15">
      <c r="A3" s="1">
        <v>23929</v>
      </c>
      <c r="B3" s="2" t="s">
        <v>218</v>
      </c>
      <c r="C3" s="1" t="s">
        <v>176</v>
      </c>
      <c r="D3" s="1" t="s">
        <v>220</v>
      </c>
      <c r="E3" s="1" t="s">
        <v>223</v>
      </c>
      <c r="F3" s="1" t="s">
        <v>222</v>
      </c>
      <c r="G3" s="1">
        <v>80</v>
      </c>
      <c r="H3" s="2">
        <v>44074</v>
      </c>
      <c r="L3" s="3"/>
      <c r="O3" s="2"/>
      <c r="T3" s="3"/>
      <c r="AB3" s="2"/>
      <c r="BZ3" s="4"/>
    </row>
    <row r="4" spans="1:78" ht="16.5" customHeight="1" x14ac:dyDescent="0.15">
      <c r="A4" s="1">
        <v>23821</v>
      </c>
      <c r="B4" s="2" t="s">
        <v>218</v>
      </c>
      <c r="C4" s="1" t="s">
        <v>219</v>
      </c>
      <c r="D4" s="1" t="s">
        <v>220</v>
      </c>
      <c r="E4" s="1" t="s">
        <v>224</v>
      </c>
      <c r="F4" s="1" t="s">
        <v>225</v>
      </c>
      <c r="G4" s="1">
        <v>100</v>
      </c>
      <c r="H4" s="2">
        <v>44074</v>
      </c>
      <c r="L4" s="3"/>
      <c r="O4" s="2"/>
      <c r="T4" s="3"/>
    </row>
    <row r="5" spans="1:78" ht="16.5" customHeight="1" x14ac:dyDescent="0.15">
      <c r="A5" s="1">
        <v>23824</v>
      </c>
      <c r="B5" s="2" t="s">
        <v>218</v>
      </c>
      <c r="C5" s="1" t="s">
        <v>219</v>
      </c>
      <c r="D5" s="1" t="s">
        <v>220</v>
      </c>
      <c r="E5" s="1" t="s">
        <v>226</v>
      </c>
      <c r="F5" s="1" t="s">
        <v>225</v>
      </c>
      <c r="G5" s="1">
        <v>100</v>
      </c>
      <c r="H5" s="2">
        <v>44074</v>
      </c>
      <c r="L5" s="3"/>
      <c r="O5" s="2"/>
      <c r="T5" s="3"/>
    </row>
    <row r="6" spans="1:78" ht="16.5" customHeight="1" x14ac:dyDescent="0.15">
      <c r="A6" s="1">
        <v>23825</v>
      </c>
      <c r="B6" s="2" t="s">
        <v>218</v>
      </c>
      <c r="C6" s="1" t="s">
        <v>219</v>
      </c>
      <c r="D6" s="1" t="s">
        <v>220</v>
      </c>
      <c r="E6" s="1" t="s">
        <v>227</v>
      </c>
      <c r="F6" s="1" t="s">
        <v>225</v>
      </c>
      <c r="G6" s="1">
        <v>100</v>
      </c>
      <c r="H6" s="2">
        <v>44074</v>
      </c>
      <c r="L6" s="3"/>
      <c r="O6" s="2"/>
      <c r="T6" s="3"/>
    </row>
    <row r="7" spans="1:78" ht="16.5" customHeight="1" x14ac:dyDescent="0.15">
      <c r="A7" s="1">
        <v>23947</v>
      </c>
      <c r="B7" s="2" t="s">
        <v>218</v>
      </c>
      <c r="C7" s="1" t="s">
        <v>219</v>
      </c>
      <c r="D7" s="1" t="s">
        <v>220</v>
      </c>
      <c r="E7" s="1" t="s">
        <v>228</v>
      </c>
      <c r="F7" s="1" t="s">
        <v>225</v>
      </c>
      <c r="G7" s="1">
        <v>100</v>
      </c>
      <c r="H7" s="2">
        <v>44074</v>
      </c>
      <c r="L7" s="3"/>
      <c r="O7" s="2"/>
      <c r="T7" s="3"/>
    </row>
    <row r="8" spans="1:78" ht="16.5" customHeight="1" x14ac:dyDescent="0.15">
      <c r="A8" s="1">
        <v>23949</v>
      </c>
      <c r="B8" s="2" t="s">
        <v>218</v>
      </c>
      <c r="C8" s="1" t="s">
        <v>219</v>
      </c>
      <c r="D8" s="1" t="s">
        <v>220</v>
      </c>
      <c r="E8" s="1" t="s">
        <v>228</v>
      </c>
      <c r="F8" s="1" t="s">
        <v>225</v>
      </c>
      <c r="G8" s="1">
        <v>100</v>
      </c>
      <c r="H8" s="2">
        <v>44074</v>
      </c>
      <c r="L8" s="3"/>
      <c r="O8" s="2"/>
      <c r="T8" s="3"/>
    </row>
    <row r="9" spans="1:78" ht="16.5" customHeight="1" x14ac:dyDescent="0.15">
      <c r="A9" s="1">
        <v>23950</v>
      </c>
      <c r="B9" s="2" t="s">
        <v>218</v>
      </c>
      <c r="C9" s="1" t="s">
        <v>219</v>
      </c>
      <c r="D9" s="1" t="s">
        <v>220</v>
      </c>
      <c r="E9" s="1" t="s">
        <v>229</v>
      </c>
      <c r="F9" s="1" t="s">
        <v>225</v>
      </c>
      <c r="G9" s="1">
        <v>100</v>
      </c>
      <c r="H9" s="2">
        <v>44074</v>
      </c>
      <c r="L9" s="3"/>
      <c r="O9" s="2"/>
      <c r="T9" s="3"/>
    </row>
    <row r="10" spans="1:78" ht="16.5" customHeight="1" x14ac:dyDescent="0.15">
      <c r="A10" s="1">
        <v>23951</v>
      </c>
      <c r="B10" s="2" t="s">
        <v>218</v>
      </c>
      <c r="C10" s="1" t="s">
        <v>219</v>
      </c>
      <c r="D10" s="1" t="s">
        <v>220</v>
      </c>
      <c r="E10" s="1" t="s">
        <v>230</v>
      </c>
      <c r="F10" s="1" t="s">
        <v>225</v>
      </c>
      <c r="G10" s="1">
        <v>100</v>
      </c>
      <c r="H10" s="2">
        <v>44074</v>
      </c>
      <c r="L10" s="3"/>
      <c r="O10" s="2"/>
      <c r="T10" s="3"/>
    </row>
    <row r="11" spans="1:78" ht="16.5" customHeight="1" x14ac:dyDescent="0.15">
      <c r="A11" s="1">
        <v>23952</v>
      </c>
      <c r="B11" s="2" t="s">
        <v>218</v>
      </c>
      <c r="C11" s="1" t="s">
        <v>219</v>
      </c>
      <c r="D11" s="1" t="s">
        <v>220</v>
      </c>
      <c r="E11" s="1" t="s">
        <v>231</v>
      </c>
      <c r="F11" s="1" t="s">
        <v>225</v>
      </c>
      <c r="G11" s="1">
        <v>100</v>
      </c>
      <c r="H11" s="2">
        <v>44074</v>
      </c>
      <c r="L11" s="3"/>
      <c r="O11" s="2"/>
      <c r="T11" s="3"/>
    </row>
    <row r="12" spans="1:78" ht="16.5" customHeight="1" x14ac:dyDescent="0.15">
      <c r="A12" s="1">
        <v>23957</v>
      </c>
      <c r="B12" s="2" t="s">
        <v>218</v>
      </c>
      <c r="C12" s="1" t="s">
        <v>219</v>
      </c>
      <c r="D12" s="1" t="s">
        <v>220</v>
      </c>
      <c r="E12" s="1" t="s">
        <v>232</v>
      </c>
      <c r="F12" s="1" t="s">
        <v>225</v>
      </c>
      <c r="G12" s="1">
        <v>100</v>
      </c>
      <c r="H12" s="2">
        <v>44074</v>
      </c>
      <c r="L12" s="3"/>
      <c r="O12" s="2"/>
      <c r="T12" s="3"/>
    </row>
    <row r="13" spans="1:78" ht="16.5" customHeight="1" x14ac:dyDescent="0.15">
      <c r="A13" s="1">
        <v>23958</v>
      </c>
      <c r="B13" s="2" t="s">
        <v>218</v>
      </c>
      <c r="C13" s="1" t="s">
        <v>219</v>
      </c>
      <c r="D13" s="1" t="s">
        <v>220</v>
      </c>
      <c r="E13" s="1" t="s">
        <v>233</v>
      </c>
      <c r="F13" s="1" t="s">
        <v>225</v>
      </c>
      <c r="G13" s="1">
        <v>100</v>
      </c>
      <c r="H13" s="2">
        <v>44074</v>
      </c>
      <c r="L13" s="3"/>
      <c r="O13" s="2"/>
      <c r="T13" s="3"/>
    </row>
    <row r="14" spans="1:78" ht="16.5" customHeight="1" x14ac:dyDescent="0.15">
      <c r="A14" s="1">
        <v>23932</v>
      </c>
      <c r="B14" s="2" t="s">
        <v>218</v>
      </c>
      <c r="C14" s="1" t="s">
        <v>219</v>
      </c>
      <c r="D14" s="1" t="s">
        <v>220</v>
      </c>
      <c r="E14" s="1" t="s">
        <v>234</v>
      </c>
      <c r="F14" s="1" t="s">
        <v>225</v>
      </c>
      <c r="G14" s="1">
        <v>100</v>
      </c>
      <c r="H14" s="2">
        <v>44075</v>
      </c>
      <c r="L14" s="3"/>
      <c r="O14" s="2"/>
      <c r="T14" s="3"/>
    </row>
    <row r="15" spans="1:78" ht="16.5" customHeight="1" x14ac:dyDescent="0.15">
      <c r="A15" s="1">
        <v>23965</v>
      </c>
      <c r="B15" s="2" t="s">
        <v>218</v>
      </c>
      <c r="C15" s="1" t="s">
        <v>219</v>
      </c>
      <c r="D15" s="1" t="s">
        <v>220</v>
      </c>
      <c r="E15" s="1" t="s">
        <v>235</v>
      </c>
      <c r="F15" s="1" t="s">
        <v>225</v>
      </c>
      <c r="G15" s="1">
        <v>100</v>
      </c>
      <c r="H15" s="2">
        <v>44075</v>
      </c>
      <c r="L15" s="3"/>
      <c r="O15" s="2"/>
      <c r="T15" s="3"/>
      <c r="AB15" s="2"/>
    </row>
    <row r="16" spans="1:78" ht="16.5" customHeight="1" x14ac:dyDescent="0.15">
      <c r="A16" s="1">
        <v>23966</v>
      </c>
      <c r="B16" s="2" t="s">
        <v>218</v>
      </c>
      <c r="C16" s="1" t="s">
        <v>219</v>
      </c>
      <c r="D16" s="1" t="s">
        <v>220</v>
      </c>
      <c r="E16" s="1" t="s">
        <v>236</v>
      </c>
      <c r="F16" s="1" t="s">
        <v>225</v>
      </c>
      <c r="G16" s="1">
        <v>100</v>
      </c>
      <c r="H16" s="2">
        <v>44075</v>
      </c>
      <c r="L16" s="3"/>
      <c r="O16" s="2"/>
      <c r="T16" s="3"/>
      <c r="AB16" s="2"/>
    </row>
    <row r="17" spans="1:28" ht="16.5" customHeight="1" x14ac:dyDescent="0.15">
      <c r="A17" s="1">
        <v>23967</v>
      </c>
      <c r="B17" s="2" t="s">
        <v>218</v>
      </c>
      <c r="C17" s="1" t="s">
        <v>219</v>
      </c>
      <c r="D17" s="1" t="s">
        <v>220</v>
      </c>
      <c r="E17" s="1" t="s">
        <v>237</v>
      </c>
      <c r="F17" s="1" t="s">
        <v>225</v>
      </c>
      <c r="G17" s="1">
        <v>100</v>
      </c>
      <c r="H17" s="2">
        <v>44075</v>
      </c>
      <c r="L17" s="3"/>
      <c r="O17" s="2"/>
      <c r="T17" s="3"/>
    </row>
    <row r="18" spans="1:28" ht="16.5" customHeight="1" x14ac:dyDescent="0.15">
      <c r="A18" s="1">
        <v>23968</v>
      </c>
      <c r="B18" s="2" t="s">
        <v>218</v>
      </c>
      <c r="C18" s="1" t="s">
        <v>219</v>
      </c>
      <c r="D18" s="1" t="s">
        <v>220</v>
      </c>
      <c r="E18" s="1" t="s">
        <v>238</v>
      </c>
      <c r="F18" s="1" t="s">
        <v>225</v>
      </c>
      <c r="G18" s="1">
        <v>100</v>
      </c>
      <c r="H18" s="2">
        <v>44075</v>
      </c>
      <c r="L18" s="3"/>
      <c r="O18" s="2"/>
      <c r="T18" s="3"/>
      <c r="AB18" s="2"/>
    </row>
    <row r="19" spans="1:28" ht="16.5" customHeight="1" x14ac:dyDescent="0.15">
      <c r="A19" s="1">
        <v>23972</v>
      </c>
      <c r="B19" s="2" t="s">
        <v>218</v>
      </c>
      <c r="C19" s="1" t="s">
        <v>219</v>
      </c>
      <c r="D19" s="1" t="s">
        <v>220</v>
      </c>
      <c r="E19" s="1" t="s">
        <v>239</v>
      </c>
      <c r="F19" s="1" t="s">
        <v>225</v>
      </c>
      <c r="G19" s="1">
        <v>100</v>
      </c>
      <c r="H19" s="2">
        <v>44075</v>
      </c>
      <c r="L19" s="3"/>
      <c r="O19" s="2"/>
      <c r="T19" s="3"/>
      <c r="AB19" s="2"/>
    </row>
    <row r="20" spans="1:28" ht="16.5" customHeight="1" x14ac:dyDescent="0.15">
      <c r="A20" s="1">
        <v>23975</v>
      </c>
      <c r="B20" s="2" t="s">
        <v>218</v>
      </c>
      <c r="C20" s="1" t="s">
        <v>219</v>
      </c>
      <c r="D20" s="1" t="s">
        <v>220</v>
      </c>
      <c r="E20" s="1" t="s">
        <v>240</v>
      </c>
      <c r="F20" s="1" t="s">
        <v>225</v>
      </c>
      <c r="G20" s="1">
        <v>100</v>
      </c>
      <c r="H20" s="2">
        <v>44075</v>
      </c>
      <c r="L20" s="3"/>
      <c r="O20" s="2"/>
      <c r="T20" s="3"/>
      <c r="AB20" s="2"/>
    </row>
    <row r="21" spans="1:28" ht="16.5" customHeight="1" x14ac:dyDescent="0.15">
      <c r="A21" s="1">
        <v>23984</v>
      </c>
      <c r="B21" s="2" t="s">
        <v>218</v>
      </c>
      <c r="C21" s="1" t="s">
        <v>219</v>
      </c>
      <c r="D21" s="1" t="s">
        <v>220</v>
      </c>
      <c r="E21" s="1" t="s">
        <v>241</v>
      </c>
      <c r="F21" s="1" t="s">
        <v>225</v>
      </c>
      <c r="G21" s="1">
        <v>100</v>
      </c>
      <c r="H21" s="2">
        <v>44075</v>
      </c>
      <c r="L21" s="3"/>
      <c r="O21" s="2"/>
      <c r="T21" s="3"/>
      <c r="AB21" s="2"/>
    </row>
    <row r="22" spans="1:28" ht="16.5" customHeight="1" x14ac:dyDescent="0.15">
      <c r="A22" s="1">
        <v>24094</v>
      </c>
      <c r="B22" s="2" t="s">
        <v>218</v>
      </c>
      <c r="C22" s="1" t="s">
        <v>219</v>
      </c>
      <c r="D22" s="1" t="s">
        <v>220</v>
      </c>
      <c r="E22" s="1" t="s">
        <v>242</v>
      </c>
      <c r="F22" s="1" t="s">
        <v>225</v>
      </c>
      <c r="G22" s="1">
        <v>100</v>
      </c>
      <c r="H22" s="2">
        <v>44075</v>
      </c>
      <c r="L22" s="3"/>
      <c r="O22" s="2"/>
      <c r="T22" s="3"/>
    </row>
    <row r="23" spans="1:28" ht="16.5" customHeight="1" x14ac:dyDescent="0.15">
      <c r="A23" s="1">
        <v>24095</v>
      </c>
      <c r="B23" s="2" t="s">
        <v>218</v>
      </c>
      <c r="C23" s="1" t="s">
        <v>219</v>
      </c>
      <c r="D23" s="1" t="s">
        <v>220</v>
      </c>
      <c r="E23" s="1" t="s">
        <v>243</v>
      </c>
      <c r="F23" s="1" t="s">
        <v>225</v>
      </c>
      <c r="G23" s="1">
        <v>100</v>
      </c>
      <c r="H23" s="2">
        <v>44075</v>
      </c>
      <c r="L23" s="3"/>
      <c r="O23" s="2"/>
      <c r="T23" s="3"/>
      <c r="AB23" s="2"/>
    </row>
    <row r="24" spans="1:28" ht="16.5" customHeight="1" x14ac:dyDescent="0.15">
      <c r="A24" s="1">
        <v>23930</v>
      </c>
      <c r="B24" s="2" t="s">
        <v>218</v>
      </c>
      <c r="C24" s="1" t="s">
        <v>244</v>
      </c>
      <c r="D24" s="1" t="s">
        <v>220</v>
      </c>
      <c r="E24" s="1" t="s">
        <v>245</v>
      </c>
      <c r="F24" s="1" t="s">
        <v>246</v>
      </c>
      <c r="G24" s="1">
        <v>20</v>
      </c>
      <c r="H24" s="2">
        <v>44075</v>
      </c>
      <c r="L24" s="3"/>
      <c r="O24" s="2"/>
      <c r="T24" s="3"/>
      <c r="AB24" s="2"/>
    </row>
    <row r="25" spans="1:28" ht="16.5" customHeight="1" x14ac:dyDescent="0.15">
      <c r="A25" s="1">
        <v>23964</v>
      </c>
      <c r="B25" s="2" t="s">
        <v>218</v>
      </c>
      <c r="C25" s="1" t="s">
        <v>244</v>
      </c>
      <c r="D25" s="1" t="s">
        <v>220</v>
      </c>
      <c r="E25" s="1" t="s">
        <v>247</v>
      </c>
      <c r="F25" s="1" t="s">
        <v>246</v>
      </c>
      <c r="G25" s="1">
        <v>10</v>
      </c>
      <c r="H25" s="2">
        <v>44075</v>
      </c>
      <c r="L25" s="3"/>
      <c r="O25" s="2"/>
      <c r="T25" s="3"/>
    </row>
    <row r="26" spans="1:28" ht="16.5" customHeight="1" x14ac:dyDescent="0.15">
      <c r="A26" s="1">
        <v>23955</v>
      </c>
      <c r="B26" s="2" t="s">
        <v>218</v>
      </c>
      <c r="C26" s="1" t="s">
        <v>219</v>
      </c>
      <c r="D26" s="1" t="s">
        <v>220</v>
      </c>
      <c r="E26" s="1" t="s">
        <v>248</v>
      </c>
      <c r="F26" s="1" t="s">
        <v>225</v>
      </c>
      <c r="G26" s="1">
        <v>100</v>
      </c>
      <c r="H26" s="2">
        <v>44076</v>
      </c>
      <c r="L26" s="3"/>
      <c r="O26" s="2"/>
      <c r="T26" s="3"/>
      <c r="AB26" s="2"/>
    </row>
    <row r="27" spans="1:28" ht="16.5" customHeight="1" x14ac:dyDescent="0.15">
      <c r="A27" s="1">
        <v>23978</v>
      </c>
      <c r="B27" s="2" t="s">
        <v>218</v>
      </c>
      <c r="C27" s="1" t="s">
        <v>219</v>
      </c>
      <c r="D27" s="1" t="s">
        <v>220</v>
      </c>
      <c r="E27" s="1" t="s">
        <v>249</v>
      </c>
      <c r="F27" s="1" t="s">
        <v>225</v>
      </c>
      <c r="G27" s="1">
        <v>100</v>
      </c>
      <c r="H27" s="2">
        <v>44076</v>
      </c>
      <c r="L27" s="3"/>
      <c r="O27" s="2"/>
      <c r="T27" s="3"/>
      <c r="AB27" s="2"/>
    </row>
    <row r="28" spans="1:28" ht="16.5" customHeight="1" x14ac:dyDescent="0.15">
      <c r="A28" s="1">
        <v>23979</v>
      </c>
      <c r="B28" s="2" t="s">
        <v>218</v>
      </c>
      <c r="C28" s="1" t="s">
        <v>219</v>
      </c>
      <c r="D28" s="1" t="s">
        <v>220</v>
      </c>
      <c r="E28" s="1" t="s">
        <v>250</v>
      </c>
      <c r="F28" s="1" t="s">
        <v>225</v>
      </c>
      <c r="G28" s="1">
        <v>100</v>
      </c>
      <c r="H28" s="2">
        <v>44076</v>
      </c>
      <c r="L28" s="3"/>
      <c r="O28" s="2"/>
      <c r="T28" s="3"/>
    </row>
    <row r="29" spans="1:28" ht="16.5" customHeight="1" x14ac:dyDescent="0.15">
      <c r="A29" s="1">
        <v>23933</v>
      </c>
      <c r="B29" s="2" t="s">
        <v>218</v>
      </c>
      <c r="C29" s="1" t="s">
        <v>219</v>
      </c>
      <c r="D29" s="1" t="s">
        <v>220</v>
      </c>
      <c r="E29" s="1" t="s">
        <v>251</v>
      </c>
      <c r="F29" s="1" t="s">
        <v>225</v>
      </c>
      <c r="G29" s="1">
        <v>100</v>
      </c>
      <c r="H29" s="2">
        <v>44077</v>
      </c>
      <c r="L29" s="3"/>
      <c r="O29" s="2"/>
      <c r="T29" s="3"/>
    </row>
    <row r="30" spans="1:28" ht="16.5" customHeight="1" x14ac:dyDescent="0.15">
      <c r="A30" s="1">
        <v>23934</v>
      </c>
      <c r="B30" s="2" t="s">
        <v>218</v>
      </c>
      <c r="C30" s="1" t="s">
        <v>219</v>
      </c>
      <c r="D30" s="1" t="s">
        <v>220</v>
      </c>
      <c r="E30" s="1" t="s">
        <v>252</v>
      </c>
      <c r="F30" s="1" t="s">
        <v>225</v>
      </c>
      <c r="G30" s="1">
        <v>100</v>
      </c>
      <c r="H30" s="2">
        <v>44077</v>
      </c>
      <c r="L30" s="3"/>
      <c r="O30" s="2"/>
      <c r="T30" s="3"/>
    </row>
    <row r="31" spans="1:28" ht="16.5" customHeight="1" x14ac:dyDescent="0.15">
      <c r="A31" s="1">
        <v>23940</v>
      </c>
      <c r="B31" s="2" t="s">
        <v>218</v>
      </c>
      <c r="C31" s="1" t="s">
        <v>219</v>
      </c>
      <c r="D31" s="1" t="s">
        <v>220</v>
      </c>
      <c r="E31" s="1" t="s">
        <v>253</v>
      </c>
      <c r="F31" s="1" t="s">
        <v>222</v>
      </c>
      <c r="G31" s="1">
        <v>100</v>
      </c>
      <c r="H31" s="2">
        <v>44077</v>
      </c>
      <c r="L31" s="3"/>
      <c r="O31" s="2"/>
      <c r="T31" s="3"/>
    </row>
    <row r="32" spans="1:28" ht="16.5" customHeight="1" x14ac:dyDescent="0.15">
      <c r="A32" s="1">
        <v>23941</v>
      </c>
      <c r="B32" s="2" t="s">
        <v>218</v>
      </c>
      <c r="C32" s="1" t="s">
        <v>219</v>
      </c>
      <c r="D32" s="1" t="s">
        <v>220</v>
      </c>
      <c r="E32" s="1" t="s">
        <v>254</v>
      </c>
      <c r="F32" s="1" t="s">
        <v>222</v>
      </c>
      <c r="G32" s="1">
        <v>100</v>
      </c>
      <c r="H32" s="2">
        <v>44077</v>
      </c>
      <c r="L32" s="3"/>
      <c r="O32" s="2"/>
      <c r="T32" s="3"/>
    </row>
    <row r="33" spans="1:29" ht="16.5" customHeight="1" x14ac:dyDescent="0.15">
      <c r="A33" s="1">
        <v>23973</v>
      </c>
      <c r="B33" s="2" t="s">
        <v>218</v>
      </c>
      <c r="C33" s="1" t="s">
        <v>219</v>
      </c>
      <c r="D33" s="1" t="s">
        <v>220</v>
      </c>
      <c r="E33" s="1" t="s">
        <v>255</v>
      </c>
      <c r="F33" s="1" t="s">
        <v>225</v>
      </c>
      <c r="G33" s="1">
        <v>100</v>
      </c>
      <c r="H33" s="2">
        <v>44077</v>
      </c>
      <c r="L33" s="3"/>
      <c r="O33" s="2"/>
      <c r="T33" s="3"/>
    </row>
    <row r="34" spans="1:29" ht="16.5" customHeight="1" x14ac:dyDescent="0.15">
      <c r="A34" s="1">
        <v>23974</v>
      </c>
      <c r="B34" s="2" t="s">
        <v>218</v>
      </c>
      <c r="C34" s="1" t="s">
        <v>219</v>
      </c>
      <c r="D34" s="1" t="s">
        <v>220</v>
      </c>
      <c r="E34" s="1" t="s">
        <v>256</v>
      </c>
      <c r="F34" s="1" t="s">
        <v>225</v>
      </c>
      <c r="G34" s="1">
        <v>100</v>
      </c>
      <c r="H34" s="2">
        <v>44077</v>
      </c>
      <c r="L34" s="3"/>
      <c r="O34" s="2"/>
      <c r="T34" s="3"/>
    </row>
    <row r="35" spans="1:29" ht="16.5" customHeight="1" x14ac:dyDescent="0.15">
      <c r="A35" s="1">
        <v>23822</v>
      </c>
      <c r="B35" s="2" t="s">
        <v>218</v>
      </c>
      <c r="C35" s="1" t="s">
        <v>219</v>
      </c>
      <c r="D35" s="1" t="s">
        <v>220</v>
      </c>
      <c r="E35" s="1" t="s">
        <v>257</v>
      </c>
      <c r="F35" s="1" t="s">
        <v>225</v>
      </c>
      <c r="G35" s="1">
        <v>100</v>
      </c>
      <c r="H35" s="2">
        <v>44078</v>
      </c>
      <c r="L35" s="3"/>
      <c r="O35" s="2"/>
      <c r="T35" s="3"/>
    </row>
    <row r="36" spans="1:29" ht="16.5" customHeight="1" x14ac:dyDescent="0.15">
      <c r="A36" s="1">
        <v>23948</v>
      </c>
      <c r="B36" s="2" t="s">
        <v>218</v>
      </c>
      <c r="C36" s="1" t="s">
        <v>219</v>
      </c>
      <c r="D36" s="1" t="s">
        <v>220</v>
      </c>
      <c r="E36" s="1" t="s">
        <v>258</v>
      </c>
      <c r="F36" s="1" t="s">
        <v>225</v>
      </c>
      <c r="G36" s="1">
        <v>100</v>
      </c>
      <c r="H36" s="2">
        <v>44078</v>
      </c>
      <c r="L36" s="3"/>
      <c r="O36" s="2"/>
      <c r="T36" s="3"/>
    </row>
    <row r="37" spans="1:29" ht="16.5" customHeight="1" x14ac:dyDescent="0.15">
      <c r="A37" s="1">
        <v>23954</v>
      </c>
      <c r="B37" s="2" t="s">
        <v>218</v>
      </c>
      <c r="C37" s="1" t="s">
        <v>219</v>
      </c>
      <c r="D37" s="1" t="s">
        <v>220</v>
      </c>
      <c r="E37" s="1" t="s">
        <v>259</v>
      </c>
      <c r="F37" s="1" t="s">
        <v>225</v>
      </c>
      <c r="G37" s="1">
        <v>100</v>
      </c>
      <c r="H37" s="2">
        <v>44078</v>
      </c>
      <c r="L37" s="3"/>
      <c r="O37" s="2"/>
      <c r="T37" s="3"/>
    </row>
    <row r="38" spans="1:29" ht="16.5" customHeight="1" x14ac:dyDescent="0.15">
      <c r="A38" s="1">
        <v>23970</v>
      </c>
      <c r="B38" s="2" t="s">
        <v>218</v>
      </c>
      <c r="C38" s="1" t="s">
        <v>219</v>
      </c>
      <c r="D38" s="1" t="s">
        <v>220</v>
      </c>
      <c r="E38" s="1" t="s">
        <v>260</v>
      </c>
      <c r="F38" s="1" t="s">
        <v>225</v>
      </c>
      <c r="G38" s="1">
        <v>100</v>
      </c>
      <c r="H38" s="2">
        <v>44078</v>
      </c>
      <c r="L38" s="3"/>
      <c r="O38" s="2"/>
      <c r="T38" s="3"/>
    </row>
    <row r="39" spans="1:29" ht="16.5" customHeight="1" x14ac:dyDescent="0.15">
      <c r="A39" s="1">
        <v>23971</v>
      </c>
      <c r="B39" s="2" t="s">
        <v>218</v>
      </c>
      <c r="C39" s="1" t="s">
        <v>219</v>
      </c>
      <c r="D39" s="1" t="s">
        <v>220</v>
      </c>
      <c r="E39" s="1" t="s">
        <v>261</v>
      </c>
      <c r="F39" s="1" t="s">
        <v>225</v>
      </c>
      <c r="G39" s="1">
        <v>100</v>
      </c>
      <c r="H39" s="2">
        <v>44078</v>
      </c>
      <c r="L39" s="3"/>
      <c r="O39" s="2"/>
      <c r="T39" s="3"/>
    </row>
    <row r="40" spans="1:29" ht="16.5" customHeight="1" x14ac:dyDescent="0.15">
      <c r="A40" s="1">
        <v>23976</v>
      </c>
      <c r="B40" s="2" t="s">
        <v>218</v>
      </c>
      <c r="C40" s="1" t="s">
        <v>219</v>
      </c>
      <c r="D40" s="1" t="s">
        <v>220</v>
      </c>
      <c r="E40" s="1" t="s">
        <v>262</v>
      </c>
      <c r="F40" s="1" t="s">
        <v>225</v>
      </c>
      <c r="G40" s="1">
        <v>100</v>
      </c>
      <c r="H40" s="2">
        <v>44078</v>
      </c>
      <c r="L40" s="3"/>
      <c r="O40" s="2"/>
      <c r="T40" s="3"/>
      <c r="AB40" s="2"/>
      <c r="AC40" s="2"/>
    </row>
    <row r="41" spans="1:29" ht="16.5" customHeight="1" x14ac:dyDescent="0.15">
      <c r="A41" s="1">
        <v>23977</v>
      </c>
      <c r="B41" s="2" t="s">
        <v>218</v>
      </c>
      <c r="C41" s="1" t="s">
        <v>219</v>
      </c>
      <c r="D41" s="1" t="s">
        <v>220</v>
      </c>
      <c r="E41" s="1" t="s">
        <v>263</v>
      </c>
      <c r="F41" s="1" t="s">
        <v>225</v>
      </c>
      <c r="G41" s="1">
        <v>100</v>
      </c>
      <c r="H41" s="2">
        <v>44078</v>
      </c>
      <c r="L41" s="3"/>
      <c r="O41" s="2"/>
      <c r="T41" s="3"/>
    </row>
    <row r="42" spans="1:29" ht="16.5" customHeight="1" x14ac:dyDescent="0.15">
      <c r="A42" s="1">
        <v>23937</v>
      </c>
      <c r="B42" s="2" t="s">
        <v>218</v>
      </c>
      <c r="C42" s="1" t="s">
        <v>219</v>
      </c>
      <c r="D42" s="1" t="s">
        <v>220</v>
      </c>
      <c r="E42" s="1" t="s">
        <v>264</v>
      </c>
      <c r="F42" s="1" t="s">
        <v>225</v>
      </c>
      <c r="G42" s="1">
        <v>100</v>
      </c>
      <c r="H42" s="2">
        <v>44081</v>
      </c>
      <c r="L42" s="3"/>
      <c r="O42" s="2"/>
      <c r="T42" s="3"/>
      <c r="AB42" s="2"/>
    </row>
    <row r="43" spans="1:29" ht="16.5" customHeight="1" x14ac:dyDescent="0.15">
      <c r="A43" s="1">
        <v>23953</v>
      </c>
      <c r="B43" s="2" t="s">
        <v>218</v>
      </c>
      <c r="C43" s="1" t="s">
        <v>219</v>
      </c>
      <c r="D43" s="1" t="s">
        <v>220</v>
      </c>
      <c r="E43" s="1" t="s">
        <v>265</v>
      </c>
      <c r="F43" s="1" t="s">
        <v>225</v>
      </c>
      <c r="G43" s="1">
        <v>100</v>
      </c>
      <c r="H43" s="2">
        <v>44081</v>
      </c>
      <c r="L43" s="3"/>
      <c r="O43" s="2"/>
      <c r="T43" s="3"/>
      <c r="AB43" s="2"/>
    </row>
    <row r="44" spans="1:29" ht="16.5" customHeight="1" x14ac:dyDescent="0.15">
      <c r="A44" s="1">
        <v>23969</v>
      </c>
      <c r="B44" s="2" t="s">
        <v>218</v>
      </c>
      <c r="C44" s="1" t="s">
        <v>219</v>
      </c>
      <c r="D44" s="1" t="s">
        <v>220</v>
      </c>
      <c r="E44" s="1" t="s">
        <v>266</v>
      </c>
      <c r="F44" s="1" t="s">
        <v>222</v>
      </c>
      <c r="G44" s="1">
        <v>100</v>
      </c>
      <c r="H44" s="2">
        <v>44082</v>
      </c>
      <c r="L44" s="3"/>
      <c r="O44" s="2"/>
      <c r="T44" s="3"/>
      <c r="AB44" s="2"/>
    </row>
    <row r="45" spans="1:29" ht="16.5" customHeight="1" x14ac:dyDescent="0.15">
      <c r="A45" s="1">
        <v>24221</v>
      </c>
      <c r="B45" s="2" t="s">
        <v>267</v>
      </c>
      <c r="C45" s="1" t="s">
        <v>268</v>
      </c>
      <c r="D45" s="1" t="s">
        <v>269</v>
      </c>
      <c r="E45" s="1" t="s">
        <v>270</v>
      </c>
      <c r="F45" s="1" t="s">
        <v>271</v>
      </c>
      <c r="G45" s="1">
        <v>0</v>
      </c>
      <c r="H45" s="2">
        <v>44083</v>
      </c>
      <c r="L45" s="3"/>
      <c r="O45" s="2"/>
      <c r="T45" s="3"/>
      <c r="AB45" s="2"/>
    </row>
    <row r="46" spans="1:29" ht="16.5" customHeight="1" x14ac:dyDescent="0.15">
      <c r="A46" s="1">
        <v>24222</v>
      </c>
      <c r="B46" s="2" t="s">
        <v>267</v>
      </c>
      <c r="C46" s="1" t="s">
        <v>268</v>
      </c>
      <c r="D46" s="1" t="s">
        <v>272</v>
      </c>
      <c r="E46" s="1" t="s">
        <v>273</v>
      </c>
      <c r="F46" s="1" t="s">
        <v>246</v>
      </c>
      <c r="G46" s="1">
        <v>0</v>
      </c>
      <c r="H46" s="2">
        <v>44083</v>
      </c>
      <c r="L46" s="3"/>
      <c r="O46" s="2"/>
      <c r="T46" s="3"/>
    </row>
    <row r="47" spans="1:29" ht="16.5" customHeight="1" x14ac:dyDescent="0.15">
      <c r="A47" s="1">
        <v>24228</v>
      </c>
      <c r="B47" s="2" t="s">
        <v>267</v>
      </c>
      <c r="C47" s="1" t="s">
        <v>268</v>
      </c>
      <c r="D47" s="1" t="s">
        <v>269</v>
      </c>
      <c r="E47" s="1" t="s">
        <v>274</v>
      </c>
      <c r="F47" s="1" t="s">
        <v>275</v>
      </c>
      <c r="G47" s="1">
        <v>0</v>
      </c>
      <c r="H47" s="2">
        <v>44083</v>
      </c>
      <c r="L47" s="3"/>
      <c r="O47" s="2"/>
      <c r="T47" s="3"/>
    </row>
    <row r="48" spans="1:29" ht="16.5" customHeight="1" x14ac:dyDescent="0.15">
      <c r="A48" s="1">
        <v>24229</v>
      </c>
      <c r="B48" s="2" t="s">
        <v>267</v>
      </c>
      <c r="C48" s="1" t="s">
        <v>268</v>
      </c>
      <c r="D48" s="1" t="s">
        <v>269</v>
      </c>
      <c r="E48" s="1" t="s">
        <v>276</v>
      </c>
      <c r="F48" s="1" t="s">
        <v>271</v>
      </c>
      <c r="G48" s="1">
        <v>0</v>
      </c>
      <c r="H48" s="2">
        <v>44083</v>
      </c>
      <c r="L48" s="3"/>
      <c r="O48" s="2"/>
      <c r="T48" s="3"/>
    </row>
    <row r="49" spans="1:29" ht="16.5" customHeight="1" x14ac:dyDescent="0.15">
      <c r="A49" s="1">
        <v>23943</v>
      </c>
      <c r="B49" s="2" t="s">
        <v>218</v>
      </c>
      <c r="C49" s="1" t="s">
        <v>268</v>
      </c>
      <c r="D49" s="1" t="s">
        <v>220</v>
      </c>
      <c r="E49" s="1" t="s">
        <v>277</v>
      </c>
      <c r="F49" s="1" t="s">
        <v>222</v>
      </c>
      <c r="G49" s="1">
        <v>0</v>
      </c>
      <c r="H49" s="2">
        <v>44085</v>
      </c>
      <c r="L49" s="3"/>
      <c r="O49" s="2"/>
      <c r="T49" s="3"/>
    </row>
    <row r="50" spans="1:29" ht="16.5" customHeight="1" x14ac:dyDescent="0.15">
      <c r="A50" s="1">
        <v>23944</v>
      </c>
      <c r="B50" s="2" t="s">
        <v>218</v>
      </c>
      <c r="C50" s="1" t="s">
        <v>268</v>
      </c>
      <c r="D50" s="1" t="s">
        <v>220</v>
      </c>
      <c r="E50" s="1" t="s">
        <v>278</v>
      </c>
      <c r="F50" s="1" t="s">
        <v>222</v>
      </c>
      <c r="G50" s="1">
        <v>0</v>
      </c>
      <c r="H50" s="2">
        <v>44085</v>
      </c>
      <c r="L50" s="3"/>
      <c r="O50" s="2"/>
      <c r="T50" s="3"/>
    </row>
    <row r="51" spans="1:29" ht="16.5" customHeight="1" x14ac:dyDescent="0.15">
      <c r="A51" s="1">
        <v>23945</v>
      </c>
      <c r="B51" s="2" t="s">
        <v>218</v>
      </c>
      <c r="C51" s="1" t="s">
        <v>268</v>
      </c>
      <c r="D51" s="1" t="s">
        <v>220</v>
      </c>
      <c r="E51" s="1" t="s">
        <v>279</v>
      </c>
      <c r="F51" s="1" t="s">
        <v>222</v>
      </c>
      <c r="G51" s="1">
        <v>0</v>
      </c>
      <c r="H51" s="2">
        <v>44085</v>
      </c>
      <c r="L51" s="3"/>
      <c r="O51" s="2"/>
      <c r="T51" s="3"/>
    </row>
    <row r="52" spans="1:29" ht="16.5" customHeight="1" x14ac:dyDescent="0.15">
      <c r="A52" s="1">
        <v>23946</v>
      </c>
      <c r="B52" s="2" t="s">
        <v>218</v>
      </c>
      <c r="C52" s="1" t="s">
        <v>268</v>
      </c>
      <c r="D52" s="1" t="s">
        <v>220</v>
      </c>
      <c r="E52" s="1" t="s">
        <v>280</v>
      </c>
      <c r="F52" s="1" t="s">
        <v>222</v>
      </c>
      <c r="G52" s="1">
        <v>0</v>
      </c>
      <c r="H52" s="2">
        <v>44085</v>
      </c>
      <c r="L52" s="3"/>
      <c r="O52" s="2"/>
      <c r="T52" s="3"/>
    </row>
    <row r="53" spans="1:29" ht="16.5" customHeight="1" x14ac:dyDescent="0.15">
      <c r="A53" s="1">
        <v>24096</v>
      </c>
      <c r="B53" s="2" t="s">
        <v>218</v>
      </c>
      <c r="C53" s="1" t="s">
        <v>268</v>
      </c>
      <c r="D53" s="1" t="s">
        <v>220</v>
      </c>
      <c r="E53" s="1" t="s">
        <v>281</v>
      </c>
      <c r="F53" s="1" t="s">
        <v>222</v>
      </c>
      <c r="G53" s="1">
        <v>0</v>
      </c>
      <c r="H53" s="2">
        <v>44085</v>
      </c>
      <c r="L53" s="3"/>
      <c r="O53" s="2"/>
      <c r="T53" s="3"/>
      <c r="AB53" s="2"/>
    </row>
    <row r="54" spans="1:29" ht="16.5" customHeight="1" x14ac:dyDescent="0.15">
      <c r="A54" s="1">
        <v>23985</v>
      </c>
      <c r="B54" s="2" t="s">
        <v>218</v>
      </c>
      <c r="C54" s="1" t="s">
        <v>244</v>
      </c>
      <c r="D54" s="1" t="s">
        <v>220</v>
      </c>
      <c r="E54" s="1" t="s">
        <v>282</v>
      </c>
      <c r="F54" s="1" t="s">
        <v>246</v>
      </c>
      <c r="G54" s="1">
        <v>20</v>
      </c>
      <c r="H54" s="2">
        <v>44088</v>
      </c>
      <c r="L54" s="3"/>
      <c r="O54" s="2"/>
      <c r="T54" s="3"/>
    </row>
    <row r="55" spans="1:29" ht="16.5" customHeight="1" x14ac:dyDescent="0.15">
      <c r="A55" s="1">
        <v>24172</v>
      </c>
      <c r="B55" s="2" t="s">
        <v>218</v>
      </c>
      <c r="C55" s="1" t="s">
        <v>268</v>
      </c>
      <c r="D55" s="1" t="s">
        <v>220</v>
      </c>
      <c r="E55" s="1" t="s">
        <v>283</v>
      </c>
      <c r="F55" s="1" t="s">
        <v>271</v>
      </c>
      <c r="G55" s="1">
        <v>0</v>
      </c>
      <c r="H55" s="2">
        <v>44091</v>
      </c>
      <c r="L55" s="3"/>
      <c r="O55" s="2"/>
      <c r="T55" s="3"/>
      <c r="AB55" s="2"/>
    </row>
    <row r="56" spans="1:29" ht="16.5" customHeight="1" x14ac:dyDescent="0.15">
      <c r="A56" s="1">
        <v>23420</v>
      </c>
      <c r="B56" s="2" t="s">
        <v>218</v>
      </c>
      <c r="C56" s="1" t="s">
        <v>244</v>
      </c>
      <c r="D56" s="1" t="s">
        <v>220</v>
      </c>
      <c r="E56" s="1" t="s">
        <v>284</v>
      </c>
      <c r="F56" s="1" t="s">
        <v>246</v>
      </c>
      <c r="G56" s="1">
        <v>20</v>
      </c>
      <c r="H56" s="2">
        <v>44092</v>
      </c>
      <c r="L56" s="3"/>
      <c r="O56" s="2"/>
      <c r="T56" s="3"/>
      <c r="AB56" s="2"/>
    </row>
    <row r="57" spans="1:29" ht="16.5" customHeight="1" x14ac:dyDescent="0.15">
      <c r="A57" s="1">
        <v>24123</v>
      </c>
      <c r="B57" s="2" t="s">
        <v>218</v>
      </c>
      <c r="C57" s="1" t="s">
        <v>244</v>
      </c>
      <c r="D57" s="1" t="s">
        <v>220</v>
      </c>
      <c r="E57" s="1" t="s">
        <v>285</v>
      </c>
      <c r="F57" s="1" t="s">
        <v>275</v>
      </c>
      <c r="G57" s="1">
        <v>20</v>
      </c>
      <c r="H57" s="2">
        <v>44092</v>
      </c>
      <c r="L57" s="3"/>
      <c r="O57" s="2"/>
      <c r="T57" s="3"/>
    </row>
    <row r="58" spans="1:29" ht="16.5" customHeight="1" x14ac:dyDescent="0.15">
      <c r="A58" s="1">
        <v>21519</v>
      </c>
      <c r="B58" s="2" t="s">
        <v>218</v>
      </c>
      <c r="C58" s="1" t="s">
        <v>268</v>
      </c>
      <c r="D58" s="1" t="s">
        <v>220</v>
      </c>
      <c r="E58" s="1" t="s">
        <v>286</v>
      </c>
      <c r="F58" s="1" t="s">
        <v>271</v>
      </c>
      <c r="G58" s="1">
        <v>0</v>
      </c>
      <c r="H58" s="2">
        <v>44092</v>
      </c>
      <c r="L58" s="3"/>
      <c r="O58" s="2"/>
      <c r="T58" s="3"/>
      <c r="AB58" s="2"/>
    </row>
    <row r="59" spans="1:29" ht="16.5" customHeight="1" x14ac:dyDescent="0.15">
      <c r="A59" s="1">
        <v>23982</v>
      </c>
      <c r="B59" s="2" t="s">
        <v>218</v>
      </c>
      <c r="C59" s="1" t="s">
        <v>268</v>
      </c>
      <c r="D59" s="1" t="s">
        <v>220</v>
      </c>
      <c r="E59" s="1" t="s">
        <v>287</v>
      </c>
      <c r="F59" s="1" t="s">
        <v>246</v>
      </c>
      <c r="G59" s="1">
        <v>0</v>
      </c>
      <c r="H59" s="2">
        <v>44092</v>
      </c>
      <c r="L59" s="3"/>
      <c r="O59" s="2"/>
      <c r="T59" s="3"/>
    </row>
    <row r="60" spans="1:29" ht="16.5" customHeight="1" x14ac:dyDescent="0.15">
      <c r="A60" s="1">
        <v>24171</v>
      </c>
      <c r="B60" s="2" t="s">
        <v>218</v>
      </c>
      <c r="C60" s="1" t="s">
        <v>268</v>
      </c>
      <c r="D60" s="1" t="s">
        <v>220</v>
      </c>
      <c r="E60" s="1" t="s">
        <v>288</v>
      </c>
      <c r="F60" s="1" t="s">
        <v>271</v>
      </c>
      <c r="G60" s="1">
        <v>0</v>
      </c>
      <c r="H60" s="2">
        <v>44092</v>
      </c>
      <c r="L60" s="3"/>
      <c r="O60" s="2"/>
      <c r="T60" s="3"/>
      <c r="AB60" s="2"/>
      <c r="AC60" s="2"/>
    </row>
    <row r="61" spans="1:29" ht="16.5" customHeight="1" x14ac:dyDescent="0.15">
      <c r="A61" s="1">
        <v>24223</v>
      </c>
      <c r="B61" s="2" t="s">
        <v>218</v>
      </c>
      <c r="C61" s="1" t="s">
        <v>268</v>
      </c>
      <c r="D61" s="1" t="s">
        <v>220</v>
      </c>
      <c r="E61" s="1" t="s">
        <v>289</v>
      </c>
      <c r="F61" s="1" t="s">
        <v>271</v>
      </c>
      <c r="G61" s="1">
        <v>0</v>
      </c>
      <c r="H61" s="2">
        <v>44092</v>
      </c>
      <c r="L61" s="3"/>
      <c r="O61" s="2"/>
      <c r="T61" s="3"/>
      <c r="AB61" s="2"/>
      <c r="AC61" s="2"/>
    </row>
    <row r="62" spans="1:29" ht="16.5" customHeight="1" x14ac:dyDescent="0.15">
      <c r="A62" s="1">
        <v>21830</v>
      </c>
      <c r="B62" s="2" t="s">
        <v>218</v>
      </c>
      <c r="C62" s="1" t="s">
        <v>290</v>
      </c>
      <c r="D62" s="1" t="s">
        <v>220</v>
      </c>
      <c r="E62" s="1" t="s">
        <v>291</v>
      </c>
      <c r="F62" s="1" t="s">
        <v>271</v>
      </c>
      <c r="G62" s="1">
        <v>0</v>
      </c>
      <c r="H62" s="2">
        <v>44092</v>
      </c>
      <c r="L62" s="3"/>
      <c r="O62" s="2"/>
      <c r="T62" s="3"/>
      <c r="AB62" s="2"/>
    </row>
    <row r="63" spans="1:29" ht="16.5" customHeight="1" x14ac:dyDescent="0.15">
      <c r="A63" s="1">
        <v>21833</v>
      </c>
      <c r="B63" s="2" t="s">
        <v>218</v>
      </c>
      <c r="C63" s="1" t="s">
        <v>290</v>
      </c>
      <c r="D63" s="1" t="s">
        <v>220</v>
      </c>
      <c r="E63" s="1" t="s">
        <v>292</v>
      </c>
      <c r="F63" s="1" t="s">
        <v>271</v>
      </c>
      <c r="G63" s="1">
        <v>0</v>
      </c>
      <c r="H63" s="2">
        <v>44092</v>
      </c>
      <c r="L63" s="3"/>
      <c r="O63" s="2"/>
      <c r="T63" s="3"/>
      <c r="U63" s="3"/>
    </row>
    <row r="64" spans="1:29" ht="16.5" customHeight="1" x14ac:dyDescent="0.15">
      <c r="A64" s="1">
        <v>21839</v>
      </c>
      <c r="B64" s="2" t="s">
        <v>218</v>
      </c>
      <c r="C64" s="1" t="s">
        <v>290</v>
      </c>
      <c r="D64" s="1" t="s">
        <v>220</v>
      </c>
      <c r="E64" s="1" t="s">
        <v>293</v>
      </c>
      <c r="F64" s="1" t="s">
        <v>271</v>
      </c>
      <c r="G64" s="1">
        <v>0</v>
      </c>
      <c r="H64" s="2">
        <v>44092</v>
      </c>
      <c r="L64" s="3"/>
      <c r="O64" s="2"/>
      <c r="T64" s="3"/>
      <c r="U64" s="3"/>
    </row>
    <row r="65" spans="1:28" ht="16.5" customHeight="1" x14ac:dyDescent="0.15">
      <c r="A65" s="1">
        <v>23083</v>
      </c>
      <c r="B65" s="2" t="s">
        <v>218</v>
      </c>
      <c r="C65" s="1" t="s">
        <v>290</v>
      </c>
      <c r="D65" s="1" t="s">
        <v>220</v>
      </c>
      <c r="E65" s="1" t="s">
        <v>294</v>
      </c>
      <c r="F65" s="1" t="s">
        <v>222</v>
      </c>
      <c r="G65" s="1">
        <v>0</v>
      </c>
      <c r="H65" s="2">
        <v>44092</v>
      </c>
      <c r="L65" s="3"/>
      <c r="O65" s="2"/>
      <c r="T65" s="3"/>
    </row>
    <row r="66" spans="1:28" ht="16.5" customHeight="1" x14ac:dyDescent="0.15">
      <c r="A66" s="1">
        <v>23084</v>
      </c>
      <c r="B66" s="2" t="s">
        <v>218</v>
      </c>
      <c r="C66" s="1" t="s">
        <v>290</v>
      </c>
      <c r="D66" s="1" t="s">
        <v>220</v>
      </c>
      <c r="E66" s="1" t="s">
        <v>295</v>
      </c>
      <c r="F66" s="1" t="s">
        <v>222</v>
      </c>
      <c r="G66" s="1">
        <v>0</v>
      </c>
      <c r="H66" s="2">
        <v>44092</v>
      </c>
      <c r="L66" s="3"/>
      <c r="O66" s="2"/>
      <c r="T66" s="3"/>
      <c r="AB66" s="2"/>
    </row>
    <row r="67" spans="1:28" ht="16.5" customHeight="1" x14ac:dyDescent="0.15">
      <c r="A67" s="1">
        <v>23936</v>
      </c>
      <c r="B67" s="1" t="s">
        <v>218</v>
      </c>
      <c r="C67" s="1" t="s">
        <v>244</v>
      </c>
      <c r="D67" s="1" t="s">
        <v>220</v>
      </c>
      <c r="E67" s="1" t="s">
        <v>296</v>
      </c>
      <c r="F67" s="1" t="s">
        <v>271</v>
      </c>
      <c r="G67" s="1">
        <v>60</v>
      </c>
      <c r="H67" s="2">
        <v>44095</v>
      </c>
    </row>
    <row r="68" spans="1:28" ht="16.5" customHeight="1" x14ac:dyDescent="0.15">
      <c r="A68" s="1">
        <v>23980</v>
      </c>
      <c r="B68" s="1" t="s">
        <v>218</v>
      </c>
      <c r="C68" s="1" t="s">
        <v>268</v>
      </c>
      <c r="D68" s="1" t="s">
        <v>220</v>
      </c>
      <c r="E68" s="1" t="s">
        <v>297</v>
      </c>
      <c r="F68" s="1" t="s">
        <v>275</v>
      </c>
      <c r="G68" s="1">
        <v>0</v>
      </c>
      <c r="H68" s="2">
        <v>44098</v>
      </c>
    </row>
    <row r="69" spans="1:28" ht="16.5" customHeight="1" x14ac:dyDescent="0.15">
      <c r="A69" s="1">
        <v>23983</v>
      </c>
      <c r="B69" s="1" t="s">
        <v>218</v>
      </c>
      <c r="C69" s="1" t="s">
        <v>268</v>
      </c>
      <c r="D69" s="1" t="s">
        <v>220</v>
      </c>
      <c r="E69" s="1" t="s">
        <v>298</v>
      </c>
      <c r="F69" s="1" t="s">
        <v>275</v>
      </c>
      <c r="G69" s="1">
        <v>0</v>
      </c>
      <c r="H69" s="2">
        <v>44098</v>
      </c>
    </row>
    <row r="70" spans="1:28" ht="16.5" customHeight="1" x14ac:dyDescent="0.15">
      <c r="A70" s="1">
        <v>24091</v>
      </c>
      <c r="B70" s="1" t="s">
        <v>218</v>
      </c>
      <c r="C70" s="1" t="s">
        <v>268</v>
      </c>
      <c r="D70" s="1" t="s">
        <v>220</v>
      </c>
      <c r="E70" s="1" t="s">
        <v>299</v>
      </c>
      <c r="F70" s="1" t="s">
        <v>246</v>
      </c>
      <c r="G70" s="1">
        <v>0</v>
      </c>
      <c r="H70" s="2">
        <v>44098</v>
      </c>
    </row>
    <row r="71" spans="1:28" ht="16.5" customHeight="1" x14ac:dyDescent="0.15">
      <c r="H71" s="2"/>
    </row>
    <row r="72" spans="1:28" ht="16.5" customHeight="1" x14ac:dyDescent="0.15">
      <c r="H72" s="2"/>
    </row>
    <row r="73" spans="1:28" ht="16.5" customHeight="1" x14ac:dyDescent="0.15">
      <c r="H73" s="2"/>
    </row>
  </sheetData>
  <phoneticPr fontId="8" type="noConversion"/>
  <pageMargins left="0.69930555555555596" right="0.69930555555555596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作業一覧</vt:lpstr>
      <vt:lpstr>RM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胡小月</dc:creator>
  <cp:lastModifiedBy>张婷婷</cp:lastModifiedBy>
  <dcterms:created xsi:type="dcterms:W3CDTF">2006-09-16T00:00:00Z</dcterms:created>
  <dcterms:modified xsi:type="dcterms:W3CDTF">2021-05-28T10:13:39Z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2052-10.1.0.5975</vt:lpwstr>
  </property>
</Properties>
</file>