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AN台帳" sheetId="1" r:id="rId1"/>
  </sheets>
  <calcPr calcId="152511"/>
</workbook>
</file>

<file path=xl/calcChain.xml><?xml version="1.0" encoding="utf-8"?>
<calcChain xmlns="http://schemas.openxmlformats.org/spreadsheetml/2006/main">
  <c r="H4" i="1" l="1"/>
  <c r="G4" i="1"/>
  <c r="G5" i="1"/>
  <c r="H5" i="1" s="1"/>
  <c r="G6" i="1"/>
  <c r="H6" i="1" s="1"/>
  <c r="G7" i="1"/>
  <c r="H7" i="1" s="1"/>
  <c r="H3" i="1" l="1"/>
  <c r="G3" i="1"/>
</calcChain>
</file>

<file path=xl/sharedStrings.xml><?xml version="1.0" encoding="utf-8"?>
<sst xmlns="http://schemas.openxmlformats.org/spreadsheetml/2006/main" count="15" uniqueCount="15">
  <si>
    <t>3V0A_31EA_3T0A</t>
    <phoneticPr fontId="1" type="noConversion"/>
  </si>
  <si>
    <t>31AA</t>
    <phoneticPr fontId="1" type="noConversion"/>
  </si>
  <si>
    <t>T90A</t>
    <phoneticPr fontId="1" type="noConversion"/>
  </si>
  <si>
    <t>3A0A_3F0A</t>
    <phoneticPr fontId="1" type="noConversion"/>
  </si>
  <si>
    <t>30AA</t>
    <phoneticPr fontId="1" type="noConversion"/>
  </si>
  <si>
    <t>车种</t>
    <phoneticPr fontId="1" type="noConversion"/>
  </si>
  <si>
    <t>车型(个)</t>
    <phoneticPr fontId="1" type="noConversion"/>
  </si>
  <si>
    <t>Signal规模(条)</t>
    <phoneticPr fontId="1" type="noConversion"/>
  </si>
  <si>
    <t>CAN台账规模(条)</t>
    <phoneticPr fontId="1" type="noConversion"/>
  </si>
  <si>
    <t>评审和指摘对应</t>
    <phoneticPr fontId="1" type="noConversion"/>
  </si>
  <si>
    <t>效率(s)</t>
    <phoneticPr fontId="1" type="noConversion"/>
  </si>
  <si>
    <t>工数(h)</t>
    <phoneticPr fontId="1" type="noConversion"/>
  </si>
  <si>
    <t>备注</t>
    <phoneticPr fontId="1" type="noConversion"/>
  </si>
  <si>
    <t>CT已完成</t>
    <phoneticPr fontId="1" type="noConversion"/>
  </si>
  <si>
    <t>式样待确认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</si>
</sst>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showGridLines="0" tabSelected="1" workbookViewId="0">
      <selection activeCell="H20" sqref="H20"/>
    </sheetView>
  </sheetViews>
  <sheetFormatPr defaultRowHeight="16.5" x14ac:dyDescent="0.3"/>
  <cols>
    <col min="1" max="1" width="4.125" style="1" customWidth="1"/>
    <col min="2" max="2" width="18.625" style="1" bestFit="1" customWidth="1"/>
    <col min="3" max="3" width="8.625" style="1" bestFit="1" customWidth="1"/>
    <col min="4" max="4" width="14.5" style="1" bestFit="1" customWidth="1"/>
    <col min="5" max="5" width="17.125" style="1" bestFit="1" customWidth="1"/>
    <col min="6" max="6" width="7.625" style="1" bestFit="1" customWidth="1"/>
    <col min="7" max="7" width="14.5" style="1" bestFit="1" customWidth="1"/>
    <col min="8" max="8" width="15.375" style="1" bestFit="1" customWidth="1"/>
    <col min="9" max="9" width="11.25" style="1" bestFit="1" customWidth="1"/>
    <col min="10" max="16384" width="9" style="1"/>
  </cols>
  <sheetData>
    <row r="2" spans="2:9" x14ac:dyDescent="0.3">
      <c r="B2" s="3" t="s">
        <v>5</v>
      </c>
      <c r="C2" s="3" t="s">
        <v>6</v>
      </c>
      <c r="D2" s="3" t="s">
        <v>7</v>
      </c>
      <c r="E2" s="3" t="s">
        <v>8</v>
      </c>
      <c r="F2" s="3" t="s">
        <v>10</v>
      </c>
      <c r="G2" s="3" t="s">
        <v>11</v>
      </c>
      <c r="H2" s="3" t="s">
        <v>9</v>
      </c>
      <c r="I2" s="3" t="s">
        <v>12</v>
      </c>
    </row>
    <row r="3" spans="2:9" x14ac:dyDescent="0.3">
      <c r="B3" s="2" t="s">
        <v>0</v>
      </c>
      <c r="C3" s="2">
        <v>4</v>
      </c>
      <c r="D3" s="2">
        <v>577</v>
      </c>
      <c r="E3" s="2">
        <v>29</v>
      </c>
      <c r="F3" s="2">
        <v>10</v>
      </c>
      <c r="G3" s="2">
        <f>C3*D3*E3*F3/3600</f>
        <v>185.92222222222222</v>
      </c>
      <c r="H3" s="2">
        <f>G3*0.15</f>
        <v>27.888333333333332</v>
      </c>
      <c r="I3" s="2"/>
    </row>
    <row r="4" spans="2:9" x14ac:dyDescent="0.3">
      <c r="B4" s="2" t="s">
        <v>1</v>
      </c>
      <c r="C4" s="2">
        <v>1</v>
      </c>
      <c r="D4" s="2">
        <v>486</v>
      </c>
      <c r="E4" s="2">
        <v>29</v>
      </c>
      <c r="F4" s="2">
        <v>0</v>
      </c>
      <c r="G4" s="2">
        <f t="shared" ref="G4:G7" si="0">C4*D4*E4*F4/3600</f>
        <v>0</v>
      </c>
      <c r="H4" s="2">
        <f t="shared" ref="H4:H7" si="1">G4*0.15</f>
        <v>0</v>
      </c>
      <c r="I4" s="2" t="s">
        <v>13</v>
      </c>
    </row>
    <row r="5" spans="2:9" x14ac:dyDescent="0.3">
      <c r="B5" s="2" t="s">
        <v>2</v>
      </c>
      <c r="C5" s="2"/>
      <c r="D5" s="2"/>
      <c r="E5" s="2">
        <v>29</v>
      </c>
      <c r="F5" s="2">
        <v>10</v>
      </c>
      <c r="G5" s="2">
        <f t="shared" si="0"/>
        <v>0</v>
      </c>
      <c r="H5" s="2">
        <f t="shared" si="1"/>
        <v>0</v>
      </c>
      <c r="I5" s="2" t="s">
        <v>14</v>
      </c>
    </row>
    <row r="6" spans="2:9" x14ac:dyDescent="0.3">
      <c r="B6" s="2" t="s">
        <v>3</v>
      </c>
      <c r="C6" s="2">
        <v>6</v>
      </c>
      <c r="D6" s="2">
        <v>504</v>
      </c>
      <c r="E6" s="2">
        <v>29</v>
      </c>
      <c r="F6" s="2">
        <v>10</v>
      </c>
      <c r="G6" s="2">
        <f t="shared" si="0"/>
        <v>243.6</v>
      </c>
      <c r="H6" s="2">
        <f t="shared" si="1"/>
        <v>36.54</v>
      </c>
      <c r="I6" s="2"/>
    </row>
    <row r="7" spans="2:9" x14ac:dyDescent="0.3">
      <c r="B7" s="2" t="s">
        <v>4</v>
      </c>
      <c r="C7" s="2">
        <v>4</v>
      </c>
      <c r="D7" s="2">
        <v>496</v>
      </c>
      <c r="E7" s="2">
        <v>29</v>
      </c>
      <c r="F7" s="2">
        <v>10</v>
      </c>
      <c r="G7" s="2">
        <f t="shared" si="0"/>
        <v>159.82222222222222</v>
      </c>
      <c r="H7" s="2">
        <f t="shared" si="1"/>
        <v>23.973333333333333</v>
      </c>
      <c r="I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CAN台帳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2021-03-29T10:36:31Z</dcterms:modified>
</cp:coreProperties>
</file>